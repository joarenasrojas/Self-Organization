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autoCompressPictures="0"/>
  <bookViews>
    <workbookView xWindow="7344" yWindow="1044" windowWidth="23256" windowHeight="13176" tabRatio="500" firstSheet="1" activeTab="1"/>
  </bookViews>
  <sheets>
    <sheet name="Hoja1" sheetId="1" state="hidden" r:id="rId1"/>
    <sheet name="Instrucciones de uso" sheetId="4" r:id="rId2"/>
    <sheet name="Calculo turnos" sheetId="2" r:id="rId3"/>
    <sheet name="Resumen" sheetId="3" r:id="rId4"/>
  </sheets>
  <calcPr calcId="144525" concurrentCalc="0"/>
  <fileRecoveryPr repairLoad="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3" l="1"/>
  <c r="D2" i="3"/>
  <c r="B4" i="2"/>
  <c r="C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" i="2"/>
  <c r="D3" i="3"/>
  <c r="A2" i="3"/>
  <c r="A3" i="3"/>
  <c r="E3" i="3"/>
  <c r="A4" i="3"/>
  <c r="E4" i="3"/>
  <c r="A5" i="3"/>
  <c r="E5" i="3"/>
  <c r="D5" i="3"/>
  <c r="D4" i="3"/>
  <c r="O2" i="3"/>
  <c r="I2" i="3"/>
  <c r="L2" i="3"/>
  <c r="L3" i="3"/>
  <c r="M2" i="3"/>
  <c r="I3" i="3"/>
  <c r="L4" i="3"/>
  <c r="M3" i="3"/>
  <c r="O3" i="3"/>
  <c r="I4" i="3"/>
  <c r="L5" i="3"/>
  <c r="M4" i="3"/>
  <c r="O4" i="3"/>
  <c r="A6" i="3"/>
  <c r="I5" i="3"/>
  <c r="L6" i="3"/>
  <c r="M5" i="3"/>
  <c r="O5" i="3"/>
  <c r="A7" i="3"/>
  <c r="I6" i="3"/>
  <c r="L7" i="3"/>
  <c r="M6" i="3"/>
  <c r="A8" i="3"/>
  <c r="I7" i="3"/>
  <c r="L8" i="3"/>
  <c r="M7" i="3"/>
  <c r="A9" i="3"/>
  <c r="I8" i="3"/>
  <c r="L9" i="3"/>
  <c r="M8" i="3"/>
  <c r="A10" i="3"/>
  <c r="I9" i="3"/>
  <c r="L10" i="3"/>
  <c r="M9" i="3"/>
  <c r="G2" i="3"/>
  <c r="F2" i="3"/>
  <c r="H2" i="3"/>
  <c r="N2" i="3"/>
  <c r="N3" i="3"/>
  <c r="N4" i="3"/>
  <c r="N5" i="3"/>
  <c r="D6" i="3"/>
  <c r="O6" i="3"/>
  <c r="D7" i="3"/>
  <c r="O7" i="3"/>
  <c r="D8" i="3"/>
  <c r="O8" i="3"/>
  <c r="D9" i="3"/>
  <c r="O9" i="3"/>
  <c r="A11" i="3"/>
  <c r="I10" i="3"/>
  <c r="L11" i="3"/>
  <c r="M10" i="3"/>
  <c r="D10" i="3"/>
  <c r="O10" i="3"/>
  <c r="A12" i="3"/>
  <c r="I11" i="3"/>
  <c r="L12" i="3"/>
  <c r="M11" i="3"/>
  <c r="D11" i="3"/>
  <c r="O11" i="3"/>
  <c r="A13" i="3"/>
  <c r="I12" i="3"/>
  <c r="L13" i="3"/>
  <c r="M12" i="3"/>
  <c r="D12" i="3"/>
  <c r="O12" i="3"/>
  <c r="A14" i="3"/>
  <c r="I13" i="3"/>
  <c r="L14" i="3"/>
  <c r="M13" i="3"/>
  <c r="D13" i="3"/>
  <c r="O13" i="3"/>
  <c r="A15" i="3"/>
  <c r="I14" i="3"/>
  <c r="L15" i="3"/>
  <c r="M14" i="3"/>
  <c r="D14" i="3"/>
  <c r="O14" i="3"/>
  <c r="A16" i="3"/>
  <c r="I15" i="3"/>
  <c r="L16" i="3"/>
  <c r="M15" i="3"/>
  <c r="D15" i="3"/>
  <c r="O15" i="3"/>
  <c r="A17" i="3"/>
  <c r="I16" i="3"/>
  <c r="L17" i="3"/>
  <c r="M16" i="3"/>
  <c r="D16" i="3"/>
  <c r="O16" i="3"/>
  <c r="A18" i="3"/>
  <c r="I17" i="3"/>
  <c r="L18" i="3"/>
  <c r="M17" i="3"/>
  <c r="D17" i="3"/>
  <c r="O17" i="3"/>
  <c r="A19" i="3"/>
  <c r="I18" i="3"/>
  <c r="L19" i="3"/>
  <c r="M18" i="3"/>
  <c r="D18" i="3"/>
  <c r="O18" i="3"/>
  <c r="A20" i="3"/>
  <c r="I19" i="3"/>
  <c r="L20" i="3"/>
  <c r="M19" i="3"/>
  <c r="D19" i="3"/>
  <c r="O19" i="3"/>
  <c r="A21" i="3"/>
  <c r="I20" i="3"/>
  <c r="L21" i="3"/>
  <c r="M20" i="3"/>
  <c r="D20" i="3"/>
  <c r="O20" i="3"/>
  <c r="A22" i="3"/>
  <c r="I21" i="3"/>
  <c r="L22" i="3"/>
  <c r="M21" i="3"/>
  <c r="D21" i="3"/>
  <c r="O21" i="3"/>
  <c r="A23" i="3"/>
  <c r="I22" i="3"/>
  <c r="L23" i="3"/>
  <c r="M22" i="3"/>
  <c r="D22" i="3"/>
  <c r="O22" i="3"/>
  <c r="A24" i="3"/>
  <c r="I23" i="3"/>
  <c r="L24" i="3"/>
  <c r="M23" i="3"/>
  <c r="D23" i="3"/>
  <c r="O23" i="3"/>
  <c r="A25" i="3"/>
  <c r="I24" i="3"/>
  <c r="L25" i="3"/>
  <c r="M24" i="3"/>
  <c r="D24" i="3"/>
  <c r="O24" i="3"/>
  <c r="A26" i="3"/>
  <c r="I25" i="3"/>
  <c r="L26" i="3"/>
  <c r="M25" i="3"/>
  <c r="D25" i="3"/>
  <c r="O25" i="3"/>
  <c r="A27" i="3"/>
  <c r="I26" i="3"/>
  <c r="L27" i="3"/>
  <c r="M26" i="3"/>
  <c r="D26" i="3"/>
  <c r="O26" i="3"/>
  <c r="A28" i="3"/>
  <c r="I27" i="3"/>
  <c r="L28" i="3"/>
  <c r="M27" i="3"/>
  <c r="D27" i="3"/>
  <c r="O27" i="3"/>
  <c r="A29" i="3"/>
  <c r="I28" i="3"/>
  <c r="L29" i="3"/>
  <c r="M28" i="3"/>
  <c r="D28" i="3"/>
  <c r="O28" i="3"/>
  <c r="A30" i="3"/>
  <c r="I29" i="3"/>
  <c r="L30" i="3"/>
  <c r="M29" i="3"/>
  <c r="D29" i="3"/>
  <c r="O29" i="3"/>
  <c r="A31" i="3"/>
  <c r="I30" i="3"/>
  <c r="L31" i="3"/>
  <c r="M30" i="3"/>
  <c r="D30" i="3"/>
  <c r="O30" i="3"/>
  <c r="A32" i="3"/>
  <c r="I31" i="3"/>
  <c r="L32" i="3"/>
  <c r="M31" i="3"/>
  <c r="D31" i="3"/>
  <c r="O31" i="3"/>
  <c r="A33" i="3"/>
  <c r="I32" i="3"/>
  <c r="L33" i="3"/>
  <c r="M32" i="3"/>
  <c r="D32" i="3"/>
  <c r="O32" i="3"/>
  <c r="A34" i="3"/>
  <c r="I33" i="3"/>
  <c r="L34" i="3"/>
  <c r="M33" i="3"/>
  <c r="D33" i="3"/>
  <c r="O33" i="3"/>
  <c r="A35" i="3"/>
  <c r="I34" i="3"/>
  <c r="L35" i="3"/>
  <c r="M34" i="3"/>
  <c r="D34" i="3"/>
  <c r="O34" i="3"/>
  <c r="A36" i="3"/>
  <c r="I35" i="3"/>
  <c r="L36" i="3"/>
  <c r="M35" i="3"/>
  <c r="D35" i="3"/>
  <c r="O35" i="3"/>
  <c r="A37" i="3"/>
  <c r="I36" i="3"/>
  <c r="L37" i="3"/>
  <c r="M36" i="3"/>
  <c r="D36" i="3"/>
  <c r="O36" i="3"/>
  <c r="A38" i="3"/>
  <c r="I37" i="3"/>
  <c r="L38" i="3"/>
  <c r="M37" i="3"/>
  <c r="D37" i="3"/>
  <c r="O37" i="3"/>
  <c r="A39" i="3"/>
  <c r="I38" i="3"/>
  <c r="L39" i="3"/>
  <c r="M38" i="3"/>
  <c r="D38" i="3"/>
  <c r="O38" i="3"/>
  <c r="A40" i="3"/>
  <c r="I39" i="3"/>
  <c r="L40" i="3"/>
  <c r="M39" i="3"/>
  <c r="D39" i="3"/>
  <c r="O39" i="3"/>
  <c r="A41" i="3"/>
  <c r="I40" i="3"/>
  <c r="L41" i="3"/>
  <c r="M40" i="3"/>
  <c r="D40" i="3"/>
  <c r="O40" i="3"/>
  <c r="A42" i="3"/>
  <c r="I41" i="3"/>
  <c r="L42" i="3"/>
  <c r="M41" i="3"/>
  <c r="D41" i="3"/>
  <c r="O41" i="3"/>
  <c r="A43" i="3"/>
  <c r="I42" i="3"/>
  <c r="L43" i="3"/>
  <c r="M42" i="3"/>
  <c r="D42" i="3"/>
  <c r="O42" i="3"/>
  <c r="A44" i="3"/>
  <c r="I43" i="3"/>
  <c r="L44" i="3"/>
  <c r="M43" i="3"/>
  <c r="D43" i="3"/>
  <c r="O43" i="3"/>
  <c r="A45" i="3"/>
  <c r="I44" i="3"/>
  <c r="L45" i="3"/>
  <c r="M44" i="3"/>
  <c r="D44" i="3"/>
  <c r="O44" i="3"/>
  <c r="A46" i="3"/>
  <c r="I45" i="3"/>
  <c r="L46" i="3"/>
  <c r="M45" i="3"/>
  <c r="D45" i="3"/>
  <c r="O45" i="3"/>
  <c r="A47" i="3"/>
  <c r="I46" i="3"/>
  <c r="L47" i="3"/>
  <c r="M46" i="3"/>
  <c r="D46" i="3"/>
  <c r="O46" i="3"/>
  <c r="A48" i="3"/>
  <c r="I47" i="3"/>
  <c r="L48" i="3"/>
  <c r="M47" i="3"/>
  <c r="D47" i="3"/>
  <c r="O47" i="3"/>
  <c r="A49" i="3"/>
  <c r="I48" i="3"/>
  <c r="L49" i="3"/>
  <c r="M48" i="3"/>
  <c r="D48" i="3"/>
  <c r="O48" i="3"/>
  <c r="A50" i="3"/>
  <c r="I49" i="3"/>
  <c r="L50" i="3"/>
  <c r="M49" i="3"/>
  <c r="D49" i="3"/>
  <c r="O49" i="3"/>
  <c r="A51" i="3"/>
  <c r="I50" i="3"/>
  <c r="L51" i="3"/>
  <c r="M50" i="3"/>
  <c r="D50" i="3"/>
  <c r="O50" i="3"/>
  <c r="A52" i="3"/>
  <c r="I51" i="3"/>
  <c r="L52" i="3"/>
  <c r="M51" i="3"/>
  <c r="D51" i="3"/>
  <c r="O51" i="3"/>
  <c r="A53" i="3"/>
  <c r="I52" i="3"/>
  <c r="L53" i="3"/>
  <c r="M52" i="3"/>
  <c r="D52" i="3"/>
  <c r="O52" i="3"/>
  <c r="A54" i="3"/>
  <c r="I53" i="3"/>
  <c r="L54" i="3"/>
  <c r="M53" i="3"/>
  <c r="D53" i="3"/>
  <c r="O53" i="3"/>
  <c r="A55" i="3"/>
  <c r="I54" i="3"/>
  <c r="L55" i="3"/>
  <c r="M54" i="3"/>
  <c r="D54" i="3"/>
  <c r="O54" i="3"/>
  <c r="A56" i="3"/>
  <c r="I55" i="3"/>
  <c r="L56" i="3"/>
  <c r="M55" i="3"/>
  <c r="D55" i="3"/>
  <c r="O55" i="3"/>
  <c r="A57" i="3"/>
  <c r="I56" i="3"/>
  <c r="L57" i="3"/>
  <c r="M56" i="3"/>
  <c r="D56" i="3"/>
  <c r="O56" i="3"/>
  <c r="A58" i="3"/>
  <c r="I57" i="3"/>
  <c r="L58" i="3"/>
  <c r="M57" i="3"/>
  <c r="D57" i="3"/>
  <c r="O57" i="3"/>
  <c r="A59" i="3"/>
  <c r="I58" i="3"/>
  <c r="L59" i="3"/>
  <c r="M58" i="3"/>
  <c r="D58" i="3"/>
  <c r="O58" i="3"/>
  <c r="A60" i="3"/>
  <c r="I59" i="3"/>
  <c r="L60" i="3"/>
  <c r="M59" i="3"/>
  <c r="D59" i="3"/>
  <c r="O59" i="3"/>
  <c r="A61" i="3"/>
  <c r="I60" i="3"/>
  <c r="L61" i="3"/>
  <c r="M60" i="3"/>
  <c r="D60" i="3"/>
  <c r="O60" i="3"/>
  <c r="A62" i="3"/>
  <c r="I61" i="3"/>
  <c r="L62" i="3"/>
  <c r="M61" i="3"/>
  <c r="D61" i="3"/>
  <c r="O61" i="3"/>
  <c r="A63" i="3"/>
  <c r="I62" i="3"/>
  <c r="L63" i="3"/>
  <c r="M62" i="3"/>
  <c r="D62" i="3"/>
  <c r="O62" i="3"/>
  <c r="A64" i="3"/>
  <c r="I63" i="3"/>
  <c r="L64" i="3"/>
  <c r="M63" i="3"/>
  <c r="D63" i="3"/>
  <c r="O63" i="3"/>
  <c r="A65" i="3"/>
  <c r="I64" i="3"/>
  <c r="L65" i="3"/>
  <c r="M64" i="3"/>
  <c r="D64" i="3"/>
  <c r="O64" i="3"/>
  <c r="A66" i="3"/>
  <c r="I65" i="3"/>
  <c r="L66" i="3"/>
  <c r="M65" i="3"/>
  <c r="D65" i="3"/>
  <c r="O65" i="3"/>
  <c r="A67" i="3"/>
  <c r="I66" i="3"/>
  <c r="L67" i="3"/>
  <c r="M66" i="3"/>
  <c r="D66" i="3"/>
  <c r="O66" i="3"/>
  <c r="A68" i="3"/>
  <c r="I67" i="3"/>
  <c r="L68" i="3"/>
  <c r="M67" i="3"/>
  <c r="D67" i="3"/>
  <c r="O67" i="3"/>
  <c r="A69" i="3"/>
  <c r="I68" i="3"/>
  <c r="L69" i="3"/>
  <c r="M68" i="3"/>
  <c r="D68" i="3"/>
  <c r="O68" i="3"/>
  <c r="A70" i="3"/>
  <c r="I69" i="3"/>
  <c r="L70" i="3"/>
  <c r="M69" i="3"/>
  <c r="D69" i="3"/>
  <c r="O69" i="3"/>
  <c r="A71" i="3"/>
  <c r="I70" i="3"/>
  <c r="L71" i="3"/>
  <c r="M70" i="3"/>
  <c r="D70" i="3"/>
  <c r="O70" i="3"/>
  <c r="A72" i="3"/>
  <c r="I71" i="3"/>
  <c r="L72" i="3"/>
  <c r="M71" i="3"/>
  <c r="D71" i="3"/>
  <c r="O71" i="3"/>
  <c r="A73" i="3"/>
  <c r="I72" i="3"/>
  <c r="L73" i="3"/>
  <c r="M72" i="3"/>
  <c r="D72" i="3"/>
  <c r="O72" i="3"/>
  <c r="A74" i="3"/>
  <c r="I73" i="3"/>
  <c r="L74" i="3"/>
  <c r="M73" i="3"/>
  <c r="D73" i="3"/>
  <c r="O73" i="3"/>
  <c r="A75" i="3"/>
  <c r="I74" i="3"/>
  <c r="L75" i="3"/>
  <c r="M74" i="3"/>
  <c r="D74" i="3"/>
  <c r="O74" i="3"/>
  <c r="A76" i="3"/>
  <c r="I75" i="3"/>
  <c r="L76" i="3"/>
  <c r="M75" i="3"/>
  <c r="D75" i="3"/>
  <c r="O75" i="3"/>
  <c r="A77" i="3"/>
  <c r="I76" i="3"/>
  <c r="L77" i="3"/>
  <c r="M76" i="3"/>
  <c r="D76" i="3"/>
  <c r="O76" i="3"/>
  <c r="A78" i="3"/>
  <c r="I77" i="3"/>
  <c r="L78" i="3"/>
  <c r="M77" i="3"/>
  <c r="D77" i="3"/>
  <c r="O77" i="3"/>
  <c r="A79" i="3"/>
  <c r="I78" i="3"/>
  <c r="L79" i="3"/>
  <c r="M78" i="3"/>
  <c r="D78" i="3"/>
  <c r="O78" i="3"/>
  <c r="A80" i="3"/>
  <c r="I79" i="3"/>
  <c r="L80" i="3"/>
  <c r="M79" i="3"/>
  <c r="D79" i="3"/>
  <c r="O79" i="3"/>
  <c r="A81" i="3"/>
  <c r="I80" i="3"/>
  <c r="L81" i="3"/>
  <c r="M80" i="3"/>
  <c r="D80" i="3"/>
  <c r="O80" i="3"/>
  <c r="A82" i="3"/>
  <c r="I81" i="3"/>
  <c r="L82" i="3"/>
  <c r="M81" i="3"/>
  <c r="D81" i="3"/>
  <c r="O81" i="3"/>
  <c r="A83" i="3"/>
  <c r="I82" i="3"/>
  <c r="L83" i="3"/>
  <c r="M82" i="3"/>
  <c r="D82" i="3"/>
  <c r="O82" i="3"/>
  <c r="A84" i="3"/>
  <c r="I83" i="3"/>
  <c r="L84" i="3"/>
  <c r="M83" i="3"/>
  <c r="D83" i="3"/>
  <c r="O83" i="3"/>
  <c r="A85" i="3"/>
  <c r="I84" i="3"/>
  <c r="L85" i="3"/>
  <c r="M84" i="3"/>
  <c r="D84" i="3"/>
  <c r="O84" i="3"/>
  <c r="A86" i="3"/>
  <c r="I85" i="3"/>
  <c r="L86" i="3"/>
  <c r="M85" i="3"/>
  <c r="D85" i="3"/>
  <c r="O85" i="3"/>
  <c r="A87" i="3"/>
  <c r="I86" i="3"/>
  <c r="L87" i="3"/>
  <c r="M86" i="3"/>
  <c r="D86" i="3"/>
  <c r="O86" i="3"/>
  <c r="A88" i="3"/>
  <c r="I87" i="3"/>
  <c r="L88" i="3"/>
  <c r="M87" i="3"/>
  <c r="D87" i="3"/>
  <c r="O87" i="3"/>
  <c r="A89" i="3"/>
  <c r="I88" i="3"/>
  <c r="L89" i="3"/>
  <c r="M88" i="3"/>
  <c r="D88" i="3"/>
  <c r="O88" i="3"/>
  <c r="A90" i="3"/>
  <c r="I89" i="3"/>
  <c r="L90" i="3"/>
  <c r="M89" i="3"/>
  <c r="D89" i="3"/>
  <c r="O89" i="3"/>
  <c r="A91" i="3"/>
  <c r="I90" i="3"/>
  <c r="L91" i="3"/>
  <c r="M90" i="3"/>
  <c r="D90" i="3"/>
  <c r="O90" i="3"/>
  <c r="A92" i="3"/>
  <c r="I91" i="3"/>
  <c r="L92" i="3"/>
  <c r="M91" i="3"/>
  <c r="D91" i="3"/>
  <c r="O91" i="3"/>
  <c r="A93" i="3"/>
  <c r="I92" i="3"/>
  <c r="L93" i="3"/>
  <c r="M92" i="3"/>
  <c r="D92" i="3"/>
  <c r="O92" i="3"/>
  <c r="A94" i="3"/>
  <c r="I93" i="3"/>
  <c r="L94" i="3"/>
  <c r="M93" i="3"/>
  <c r="D93" i="3"/>
  <c r="O93" i="3"/>
  <c r="A95" i="3"/>
  <c r="I94" i="3"/>
  <c r="L95" i="3"/>
  <c r="M94" i="3"/>
  <c r="D94" i="3"/>
  <c r="O94" i="3"/>
  <c r="A96" i="3"/>
  <c r="I95" i="3"/>
  <c r="L96" i="3"/>
  <c r="M95" i="3"/>
  <c r="D95" i="3"/>
  <c r="O95" i="3"/>
  <c r="A97" i="3"/>
  <c r="I96" i="3"/>
  <c r="L97" i="3"/>
  <c r="M96" i="3"/>
  <c r="D96" i="3"/>
  <c r="O96" i="3"/>
  <c r="A98" i="3"/>
  <c r="I97" i="3"/>
  <c r="L98" i="3"/>
  <c r="M97" i="3"/>
  <c r="D97" i="3"/>
  <c r="O97" i="3"/>
  <c r="A99" i="3"/>
  <c r="I98" i="3"/>
  <c r="L99" i="3"/>
  <c r="M98" i="3"/>
  <c r="D98" i="3"/>
  <c r="O98" i="3"/>
  <c r="A100" i="3"/>
  <c r="I99" i="3"/>
  <c r="L100" i="3"/>
  <c r="M99" i="3"/>
  <c r="D99" i="3"/>
  <c r="O99" i="3"/>
  <c r="A101" i="3"/>
  <c r="I100" i="3"/>
  <c r="L101" i="3"/>
  <c r="M100" i="3"/>
  <c r="D100" i="3"/>
  <c r="O100" i="3"/>
  <c r="A102" i="3"/>
  <c r="I101" i="3"/>
  <c r="L102" i="3"/>
  <c r="M101" i="3"/>
  <c r="D101" i="3"/>
  <c r="O101" i="3"/>
  <c r="A103" i="3"/>
  <c r="I102" i="3"/>
  <c r="L103" i="3"/>
  <c r="M102" i="3"/>
  <c r="D102" i="3"/>
  <c r="O102" i="3"/>
  <c r="A104" i="3"/>
  <c r="I103" i="3"/>
  <c r="L104" i="3"/>
  <c r="M103" i="3"/>
  <c r="D103" i="3"/>
  <c r="O103" i="3"/>
  <c r="A105" i="3"/>
  <c r="I104" i="3"/>
  <c r="L105" i="3"/>
  <c r="M104" i="3"/>
  <c r="D104" i="3"/>
  <c r="O104" i="3"/>
  <c r="A106" i="3"/>
  <c r="I105" i="3"/>
  <c r="L106" i="3"/>
  <c r="M105" i="3"/>
  <c r="D105" i="3"/>
  <c r="O105" i="3"/>
  <c r="A107" i="3"/>
  <c r="I106" i="3"/>
  <c r="L107" i="3"/>
  <c r="M106" i="3"/>
  <c r="D106" i="3"/>
  <c r="O106" i="3"/>
  <c r="I107" i="3"/>
  <c r="L108" i="3"/>
  <c r="M107" i="3"/>
  <c r="D107" i="3"/>
  <c r="O107" i="3"/>
  <c r="I108" i="3"/>
  <c r="L109" i="3"/>
  <c r="M108" i="3"/>
  <c r="D108" i="3"/>
  <c r="O108" i="3"/>
  <c r="I109" i="3"/>
  <c r="L110" i="3"/>
  <c r="M109" i="3"/>
  <c r="D109" i="3"/>
  <c r="O109" i="3"/>
  <c r="I110" i="3"/>
  <c r="L111" i="3"/>
  <c r="M110" i="3"/>
  <c r="D110" i="3"/>
  <c r="O110" i="3"/>
  <c r="I111" i="3"/>
  <c r="L112" i="3"/>
  <c r="M111" i="3"/>
  <c r="D111" i="3"/>
  <c r="O111" i="3"/>
  <c r="I112" i="3"/>
  <c r="L113" i="3"/>
  <c r="M112" i="3"/>
  <c r="D112" i="3"/>
  <c r="O112" i="3"/>
  <c r="I113" i="3"/>
  <c r="L114" i="3"/>
  <c r="M113" i="3"/>
  <c r="D113" i="3"/>
  <c r="O113" i="3"/>
  <c r="I114" i="3"/>
  <c r="L115" i="3"/>
  <c r="M114" i="3"/>
  <c r="D114" i="3"/>
  <c r="O114" i="3"/>
  <c r="I115" i="3"/>
  <c r="L116" i="3"/>
  <c r="M115" i="3"/>
  <c r="D115" i="3"/>
  <c r="O115" i="3"/>
  <c r="I116" i="3"/>
  <c r="L117" i="3"/>
  <c r="M116" i="3"/>
  <c r="D116" i="3"/>
  <c r="O116" i="3"/>
  <c r="I117" i="3"/>
  <c r="L118" i="3"/>
  <c r="M117" i="3"/>
  <c r="D117" i="3"/>
  <c r="O117" i="3"/>
  <c r="I118" i="3"/>
  <c r="L119" i="3"/>
  <c r="M118" i="3"/>
  <c r="D118" i="3"/>
  <c r="O118" i="3"/>
  <c r="I119" i="3"/>
  <c r="L120" i="3"/>
  <c r="M119" i="3"/>
  <c r="D119" i="3"/>
  <c r="O119" i="3"/>
  <c r="I120" i="3"/>
  <c r="L121" i="3"/>
  <c r="M120" i="3"/>
  <c r="D120" i="3"/>
  <c r="O120" i="3"/>
  <c r="I121" i="3"/>
  <c r="L122" i="3"/>
  <c r="M121" i="3"/>
  <c r="D121" i="3"/>
  <c r="O121" i="3"/>
  <c r="I122" i="3"/>
  <c r="L123" i="3"/>
  <c r="M122" i="3"/>
  <c r="D122" i="3"/>
  <c r="O122" i="3"/>
  <c r="I123" i="3"/>
  <c r="L124" i="3"/>
  <c r="M123" i="3"/>
  <c r="D123" i="3"/>
  <c r="O123" i="3"/>
  <c r="I124" i="3"/>
  <c r="L125" i="3"/>
  <c r="M124" i="3"/>
  <c r="D124" i="3"/>
  <c r="O124" i="3"/>
  <c r="I125" i="3"/>
  <c r="L126" i="3"/>
  <c r="M125" i="3"/>
  <c r="D125" i="3"/>
  <c r="O125" i="3"/>
  <c r="I126" i="3"/>
  <c r="L127" i="3"/>
  <c r="M126" i="3"/>
  <c r="D126" i="3"/>
  <c r="O126" i="3"/>
  <c r="I127" i="3"/>
  <c r="L128" i="3"/>
  <c r="M127" i="3"/>
  <c r="D127" i="3"/>
  <c r="O127" i="3"/>
  <c r="I128" i="3"/>
  <c r="L129" i="3"/>
  <c r="M128" i="3"/>
  <c r="D128" i="3"/>
  <c r="O128" i="3"/>
  <c r="I129" i="3"/>
  <c r="L130" i="3"/>
  <c r="M129" i="3"/>
  <c r="D129" i="3"/>
  <c r="O129" i="3"/>
  <c r="I130" i="3"/>
  <c r="L131" i="3"/>
  <c r="M130" i="3"/>
  <c r="D130" i="3"/>
  <c r="O130" i="3"/>
  <c r="I131" i="3"/>
  <c r="L132" i="3"/>
  <c r="M131" i="3"/>
  <c r="D131" i="3"/>
  <c r="O131" i="3"/>
  <c r="I132" i="3"/>
  <c r="L133" i="3"/>
  <c r="M132" i="3"/>
  <c r="D132" i="3"/>
  <c r="O132" i="3"/>
  <c r="Q3" i="3"/>
  <c r="U3" i="3"/>
  <c r="H3" i="3"/>
  <c r="W2" i="3"/>
  <c r="X2" i="3"/>
  <c r="H4" i="3"/>
  <c r="W3" i="3"/>
  <c r="X3" i="3"/>
  <c r="H5" i="3"/>
  <c r="W4" i="3"/>
  <c r="X4" i="3"/>
  <c r="H6" i="3"/>
  <c r="W5" i="3"/>
  <c r="X5" i="3"/>
  <c r="Y2" i="3"/>
  <c r="Y3" i="3"/>
  <c r="Y4" i="3"/>
  <c r="Y5" i="3"/>
  <c r="H7" i="3"/>
  <c r="W6" i="3"/>
  <c r="X6" i="3"/>
  <c r="Y6" i="3"/>
  <c r="H8" i="3"/>
  <c r="W7" i="3"/>
  <c r="X7" i="3"/>
  <c r="Y7" i="3"/>
  <c r="H9" i="3"/>
  <c r="W8" i="3"/>
  <c r="X8" i="3"/>
  <c r="Y8" i="3"/>
  <c r="H10" i="3"/>
  <c r="W9" i="3"/>
  <c r="X9" i="3"/>
  <c r="Y9" i="3"/>
  <c r="H11" i="3"/>
  <c r="W10" i="3"/>
  <c r="X10" i="3"/>
  <c r="Y10" i="3"/>
  <c r="H12" i="3"/>
  <c r="W11" i="3"/>
  <c r="X11" i="3"/>
  <c r="Y11" i="3"/>
  <c r="H13" i="3"/>
  <c r="W12" i="3"/>
  <c r="X12" i="3"/>
  <c r="Y12" i="3"/>
  <c r="H14" i="3"/>
  <c r="W13" i="3"/>
  <c r="X13" i="3"/>
  <c r="Y13" i="3"/>
  <c r="H15" i="3"/>
  <c r="W14" i="3"/>
  <c r="X14" i="3"/>
  <c r="Y14" i="3"/>
  <c r="H16" i="3"/>
  <c r="W15" i="3"/>
  <c r="X15" i="3"/>
  <c r="Y15" i="3"/>
  <c r="H17" i="3"/>
  <c r="W16" i="3"/>
  <c r="X16" i="3"/>
  <c r="Y16" i="3"/>
  <c r="H18" i="3"/>
  <c r="W17" i="3"/>
  <c r="X17" i="3"/>
  <c r="Y17" i="3"/>
  <c r="H19" i="3"/>
  <c r="W18" i="3"/>
  <c r="X18" i="3"/>
  <c r="Y18" i="3"/>
  <c r="H20" i="3"/>
  <c r="W19" i="3"/>
  <c r="X19" i="3"/>
  <c r="Y19" i="3"/>
  <c r="H21" i="3"/>
  <c r="W20" i="3"/>
  <c r="X20" i="3"/>
  <c r="Y20" i="3"/>
  <c r="H22" i="3"/>
  <c r="W21" i="3"/>
  <c r="X21" i="3"/>
  <c r="Y21" i="3"/>
  <c r="H23" i="3"/>
  <c r="W22" i="3"/>
  <c r="X22" i="3"/>
  <c r="Y22" i="3"/>
  <c r="H24" i="3"/>
  <c r="W23" i="3"/>
  <c r="X23" i="3"/>
  <c r="Y23" i="3"/>
  <c r="H25" i="3"/>
  <c r="W24" i="3"/>
  <c r="X24" i="3"/>
  <c r="Y24" i="3"/>
  <c r="H26" i="3"/>
  <c r="W25" i="3"/>
  <c r="X25" i="3"/>
  <c r="Y25" i="3"/>
  <c r="H27" i="3"/>
  <c r="W26" i="3"/>
  <c r="X26" i="3"/>
  <c r="Y26" i="3"/>
  <c r="H28" i="3"/>
  <c r="W27" i="3"/>
  <c r="X27" i="3"/>
  <c r="Y27" i="3"/>
  <c r="H29" i="3"/>
  <c r="W28" i="3"/>
  <c r="X28" i="3"/>
  <c r="Y28" i="3"/>
  <c r="H30" i="3"/>
  <c r="W29" i="3"/>
  <c r="X29" i="3"/>
  <c r="Y29" i="3"/>
  <c r="H31" i="3"/>
  <c r="W30" i="3"/>
  <c r="X30" i="3"/>
  <c r="Y30" i="3"/>
  <c r="H32" i="3"/>
  <c r="W31" i="3"/>
  <c r="X31" i="3"/>
  <c r="Y31" i="3"/>
  <c r="H33" i="3"/>
  <c r="W32" i="3"/>
  <c r="X32" i="3"/>
  <c r="Y32" i="3"/>
  <c r="H34" i="3"/>
  <c r="W33" i="3"/>
  <c r="X33" i="3"/>
  <c r="Y33" i="3"/>
  <c r="H35" i="3"/>
  <c r="W34" i="3"/>
  <c r="X34" i="3"/>
  <c r="Y34" i="3"/>
  <c r="H36" i="3"/>
  <c r="W35" i="3"/>
  <c r="X35" i="3"/>
  <c r="Y35" i="3"/>
  <c r="H37" i="3"/>
  <c r="W36" i="3"/>
  <c r="X36" i="3"/>
  <c r="Y36" i="3"/>
  <c r="H38" i="3"/>
  <c r="W37" i="3"/>
  <c r="X37" i="3"/>
  <c r="Y37" i="3"/>
  <c r="H39" i="3"/>
  <c r="W38" i="3"/>
  <c r="X38" i="3"/>
  <c r="Y38" i="3"/>
  <c r="H40" i="3"/>
  <c r="W39" i="3"/>
  <c r="X39" i="3"/>
  <c r="Y39" i="3"/>
  <c r="H41" i="3"/>
  <c r="W40" i="3"/>
  <c r="X40" i="3"/>
  <c r="Y40" i="3"/>
  <c r="H42" i="3"/>
  <c r="W41" i="3"/>
  <c r="X41" i="3"/>
  <c r="Y41" i="3"/>
  <c r="H43" i="3"/>
  <c r="W42" i="3"/>
  <c r="X42" i="3"/>
  <c r="Y42" i="3"/>
  <c r="H44" i="3"/>
  <c r="W43" i="3"/>
  <c r="X43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H45" i="3"/>
  <c r="W44" i="3"/>
  <c r="X44" i="3"/>
  <c r="H46" i="3"/>
  <c r="W45" i="3"/>
  <c r="X45" i="3"/>
  <c r="H47" i="3"/>
  <c r="W46" i="3"/>
  <c r="X46" i="3"/>
  <c r="H48" i="3"/>
  <c r="W47" i="3"/>
  <c r="X47" i="3"/>
  <c r="H49" i="3"/>
  <c r="W48" i="3"/>
  <c r="X48" i="3"/>
  <c r="H50" i="3"/>
  <c r="W49" i="3"/>
  <c r="X49" i="3"/>
  <c r="H51" i="3"/>
  <c r="W50" i="3"/>
  <c r="X50" i="3"/>
  <c r="H52" i="3"/>
  <c r="W51" i="3"/>
  <c r="X51" i="3"/>
  <c r="H53" i="3"/>
  <c r="W52" i="3"/>
  <c r="X52" i="3"/>
  <c r="H54" i="3"/>
  <c r="W53" i="3"/>
  <c r="X53" i="3"/>
  <c r="H55" i="3"/>
  <c r="W54" i="3"/>
  <c r="X54" i="3"/>
  <c r="H56" i="3"/>
  <c r="W55" i="3"/>
  <c r="X55" i="3"/>
  <c r="H57" i="3"/>
  <c r="W56" i="3"/>
  <c r="X56" i="3"/>
  <c r="H58" i="3"/>
  <c r="W57" i="3"/>
  <c r="X57" i="3"/>
  <c r="H59" i="3"/>
  <c r="W58" i="3"/>
  <c r="X58" i="3"/>
  <c r="H60" i="3"/>
  <c r="W59" i="3"/>
  <c r="X59" i="3"/>
  <c r="H61" i="3"/>
  <c r="W60" i="3"/>
  <c r="X60" i="3"/>
  <c r="H62" i="3"/>
  <c r="W61" i="3"/>
  <c r="X61" i="3"/>
  <c r="H63" i="3"/>
  <c r="W62" i="3"/>
  <c r="X62" i="3"/>
  <c r="H64" i="3"/>
  <c r="W63" i="3"/>
  <c r="X63" i="3"/>
  <c r="H65" i="3"/>
  <c r="W64" i="3"/>
  <c r="X64" i="3"/>
  <c r="H66" i="3"/>
  <c r="W65" i="3"/>
  <c r="X65" i="3"/>
  <c r="H67" i="3"/>
  <c r="W66" i="3"/>
  <c r="X66" i="3"/>
  <c r="H68" i="3"/>
  <c r="W67" i="3"/>
  <c r="X67" i="3"/>
  <c r="H69" i="3"/>
  <c r="W68" i="3"/>
  <c r="X68" i="3"/>
  <c r="H70" i="3"/>
  <c r="W69" i="3"/>
  <c r="X69" i="3"/>
  <c r="H71" i="3"/>
  <c r="W70" i="3"/>
  <c r="X70" i="3"/>
  <c r="H72" i="3"/>
  <c r="W71" i="3"/>
  <c r="X71" i="3"/>
  <c r="H73" i="3"/>
  <c r="W72" i="3"/>
  <c r="X72" i="3"/>
  <c r="H74" i="3"/>
  <c r="W73" i="3"/>
  <c r="X73" i="3"/>
  <c r="H75" i="3"/>
  <c r="W74" i="3"/>
  <c r="X74" i="3"/>
  <c r="H76" i="3"/>
  <c r="W75" i="3"/>
  <c r="X75" i="3"/>
  <c r="H77" i="3"/>
  <c r="W76" i="3"/>
  <c r="X76" i="3"/>
  <c r="H78" i="3"/>
  <c r="W77" i="3"/>
  <c r="X77" i="3"/>
  <c r="H79" i="3"/>
  <c r="W78" i="3"/>
  <c r="X78" i="3"/>
  <c r="H80" i="3"/>
  <c r="W79" i="3"/>
  <c r="X79" i="3"/>
  <c r="H81" i="3"/>
  <c r="W80" i="3"/>
  <c r="X80" i="3"/>
  <c r="H82" i="3"/>
  <c r="W81" i="3"/>
  <c r="X81" i="3"/>
  <c r="H83" i="3"/>
  <c r="W82" i="3"/>
  <c r="X82" i="3"/>
  <c r="H84" i="3"/>
  <c r="W83" i="3"/>
  <c r="X83" i="3"/>
  <c r="H85" i="3"/>
  <c r="W84" i="3"/>
  <c r="X84" i="3"/>
  <c r="H86" i="3"/>
  <c r="W85" i="3"/>
  <c r="X85" i="3"/>
  <c r="H87" i="3"/>
  <c r="W86" i="3"/>
  <c r="X86" i="3"/>
  <c r="H88" i="3"/>
  <c r="W87" i="3"/>
  <c r="X87" i="3"/>
  <c r="H89" i="3"/>
  <c r="W88" i="3"/>
  <c r="X88" i="3"/>
  <c r="H90" i="3"/>
  <c r="W89" i="3"/>
  <c r="X89" i="3"/>
  <c r="H91" i="3"/>
  <c r="W90" i="3"/>
  <c r="X90" i="3"/>
  <c r="H92" i="3"/>
  <c r="W91" i="3"/>
  <c r="X91" i="3"/>
  <c r="H93" i="3"/>
  <c r="W92" i="3"/>
  <c r="X92" i="3"/>
  <c r="H94" i="3"/>
  <c r="W93" i="3"/>
  <c r="X93" i="3"/>
  <c r="H95" i="3"/>
  <c r="W94" i="3"/>
  <c r="X94" i="3"/>
  <c r="H96" i="3"/>
  <c r="W95" i="3"/>
  <c r="X95" i="3"/>
  <c r="H97" i="3"/>
  <c r="W96" i="3"/>
  <c r="X96" i="3"/>
  <c r="H98" i="3"/>
  <c r="W97" i="3"/>
  <c r="X97" i="3"/>
  <c r="H99" i="3"/>
  <c r="W98" i="3"/>
  <c r="X98" i="3"/>
  <c r="H100" i="3"/>
  <c r="W99" i="3"/>
  <c r="X99" i="3"/>
  <c r="H101" i="3"/>
  <c r="W100" i="3"/>
  <c r="X100" i="3"/>
  <c r="H102" i="3"/>
  <c r="W101" i="3"/>
  <c r="X101" i="3"/>
  <c r="H103" i="3"/>
  <c r="W102" i="3"/>
  <c r="X102" i="3"/>
  <c r="H104" i="3"/>
  <c r="W103" i="3"/>
  <c r="X103" i="3"/>
  <c r="H105" i="3"/>
  <c r="W104" i="3"/>
  <c r="X104" i="3"/>
  <c r="H106" i="3"/>
  <c r="W105" i="3"/>
  <c r="X105" i="3"/>
  <c r="H107" i="3"/>
  <c r="W106" i="3"/>
  <c r="X106" i="3"/>
  <c r="H108" i="3"/>
  <c r="W107" i="3"/>
  <c r="X107" i="3"/>
  <c r="H109" i="3"/>
  <c r="W108" i="3"/>
  <c r="X108" i="3"/>
  <c r="H110" i="3"/>
  <c r="W109" i="3"/>
  <c r="X109" i="3"/>
  <c r="H111" i="3"/>
  <c r="W110" i="3"/>
  <c r="X110" i="3"/>
  <c r="H112" i="3"/>
  <c r="W111" i="3"/>
  <c r="X111" i="3"/>
  <c r="H113" i="3"/>
  <c r="W112" i="3"/>
  <c r="X112" i="3"/>
  <c r="H114" i="3"/>
  <c r="W113" i="3"/>
  <c r="X113" i="3"/>
  <c r="H115" i="3"/>
  <c r="W114" i="3"/>
  <c r="X114" i="3"/>
  <c r="H116" i="3"/>
  <c r="W115" i="3"/>
  <c r="X115" i="3"/>
  <c r="H117" i="3"/>
  <c r="W116" i="3"/>
  <c r="X116" i="3"/>
  <c r="H118" i="3"/>
  <c r="W117" i="3"/>
  <c r="X117" i="3"/>
  <c r="H119" i="3"/>
  <c r="W118" i="3"/>
  <c r="X118" i="3"/>
  <c r="H120" i="3"/>
  <c r="W119" i="3"/>
  <c r="X119" i="3"/>
  <c r="H121" i="3"/>
  <c r="W120" i="3"/>
  <c r="X120" i="3"/>
  <c r="H122" i="3"/>
  <c r="W121" i="3"/>
  <c r="X121" i="3"/>
  <c r="H123" i="3"/>
  <c r="W122" i="3"/>
  <c r="X122" i="3"/>
  <c r="H124" i="3"/>
  <c r="W123" i="3"/>
  <c r="X123" i="3"/>
  <c r="H125" i="3"/>
  <c r="W124" i="3"/>
  <c r="X124" i="3"/>
  <c r="H126" i="3"/>
  <c r="W125" i="3"/>
  <c r="X125" i="3"/>
  <c r="H127" i="3"/>
  <c r="W126" i="3"/>
  <c r="X126" i="3"/>
  <c r="H128" i="3"/>
  <c r="W127" i="3"/>
  <c r="X127" i="3"/>
  <c r="H129" i="3"/>
  <c r="W128" i="3"/>
  <c r="X128" i="3"/>
  <c r="H130" i="3"/>
  <c r="W129" i="3"/>
  <c r="X129" i="3"/>
  <c r="H131" i="3"/>
  <c r="W130" i="3"/>
  <c r="X130" i="3"/>
  <c r="H132" i="3"/>
  <c r="W131" i="3"/>
  <c r="X131" i="3"/>
  <c r="H133" i="3"/>
  <c r="W132" i="3"/>
  <c r="X132" i="3"/>
  <c r="H134" i="3"/>
  <c r="W133" i="3"/>
  <c r="X133" i="3"/>
  <c r="Y133" i="3"/>
  <c r="H135" i="3"/>
  <c r="W134" i="3"/>
  <c r="X134" i="3"/>
  <c r="Y134" i="3"/>
  <c r="H136" i="3"/>
  <c r="W135" i="3"/>
  <c r="X135" i="3"/>
  <c r="Y135" i="3"/>
  <c r="H137" i="3"/>
  <c r="W136" i="3"/>
  <c r="X136" i="3"/>
  <c r="Y136" i="3"/>
  <c r="H138" i="3"/>
  <c r="W137" i="3"/>
  <c r="X137" i="3"/>
  <c r="Y137" i="3"/>
  <c r="H139" i="3"/>
  <c r="W138" i="3"/>
  <c r="X138" i="3"/>
  <c r="Y138" i="3"/>
  <c r="H140" i="3"/>
  <c r="W139" i="3"/>
  <c r="X139" i="3"/>
  <c r="Y139" i="3"/>
  <c r="H141" i="3"/>
  <c r="W140" i="3"/>
  <c r="X140" i="3"/>
  <c r="Y140" i="3"/>
  <c r="H142" i="3"/>
  <c r="W141" i="3"/>
  <c r="X141" i="3"/>
  <c r="Y141" i="3"/>
  <c r="H143" i="3"/>
  <c r="W142" i="3"/>
  <c r="X142" i="3"/>
  <c r="Y142" i="3"/>
  <c r="H144" i="3"/>
  <c r="W143" i="3"/>
  <c r="X143" i="3"/>
  <c r="Y143" i="3"/>
  <c r="H145" i="3"/>
  <c r="W144" i="3"/>
  <c r="X144" i="3"/>
  <c r="Y144" i="3"/>
  <c r="H146" i="3"/>
  <c r="W145" i="3"/>
  <c r="X145" i="3"/>
  <c r="Y145" i="3"/>
  <c r="H147" i="3"/>
  <c r="W146" i="3"/>
  <c r="X146" i="3"/>
  <c r="Y146" i="3"/>
  <c r="H148" i="3"/>
  <c r="W147" i="3"/>
  <c r="X147" i="3"/>
  <c r="Y147" i="3"/>
  <c r="H149" i="3"/>
  <c r="W148" i="3"/>
  <c r="X148" i="3"/>
  <c r="Y148" i="3"/>
  <c r="H150" i="3"/>
  <c r="W149" i="3"/>
  <c r="X149" i="3"/>
  <c r="Y149" i="3"/>
  <c r="H151" i="3"/>
  <c r="W150" i="3"/>
  <c r="X150" i="3"/>
  <c r="Y150" i="3"/>
  <c r="H152" i="3"/>
  <c r="W151" i="3"/>
  <c r="X151" i="3"/>
  <c r="Y151" i="3"/>
  <c r="H153" i="3"/>
  <c r="W152" i="3"/>
  <c r="X152" i="3"/>
  <c r="Y152" i="3"/>
  <c r="H154" i="3"/>
  <c r="W153" i="3"/>
  <c r="X153" i="3"/>
  <c r="Y153" i="3"/>
  <c r="H155" i="3"/>
  <c r="W154" i="3"/>
  <c r="X154" i="3"/>
  <c r="Y154" i="3"/>
  <c r="H156" i="3"/>
  <c r="W155" i="3"/>
  <c r="X155" i="3"/>
  <c r="Y155" i="3"/>
  <c r="H157" i="3"/>
  <c r="W156" i="3"/>
  <c r="X156" i="3"/>
  <c r="Y156" i="3"/>
  <c r="H158" i="3"/>
  <c r="W157" i="3"/>
  <c r="X157" i="3"/>
  <c r="Y157" i="3"/>
  <c r="H159" i="3"/>
  <c r="W158" i="3"/>
  <c r="X158" i="3"/>
  <c r="Y158" i="3"/>
  <c r="H160" i="3"/>
  <c r="W159" i="3"/>
  <c r="X159" i="3"/>
  <c r="Y159" i="3"/>
  <c r="H161" i="3"/>
  <c r="W160" i="3"/>
  <c r="X160" i="3"/>
  <c r="Y160" i="3"/>
  <c r="H162" i="3"/>
  <c r="W161" i="3"/>
  <c r="X161" i="3"/>
  <c r="Y161" i="3"/>
  <c r="H163" i="3"/>
  <c r="W162" i="3"/>
  <c r="X162" i="3"/>
  <c r="Y162" i="3"/>
  <c r="H164" i="3"/>
  <c r="W163" i="3"/>
  <c r="X163" i="3"/>
  <c r="Y163" i="3"/>
  <c r="H165" i="3"/>
  <c r="W164" i="3"/>
  <c r="X164" i="3"/>
  <c r="Y164" i="3"/>
  <c r="H166" i="3"/>
  <c r="W165" i="3"/>
  <c r="X165" i="3"/>
  <c r="Y165" i="3"/>
  <c r="H167" i="3"/>
  <c r="W166" i="3"/>
  <c r="X166" i="3"/>
  <c r="Y166" i="3"/>
  <c r="H168" i="3"/>
  <c r="W167" i="3"/>
  <c r="X167" i="3"/>
  <c r="Y167" i="3"/>
  <c r="H169" i="3"/>
  <c r="W168" i="3"/>
  <c r="X168" i="3"/>
  <c r="Y168" i="3"/>
  <c r="H170" i="3"/>
  <c r="W169" i="3"/>
  <c r="X169" i="3"/>
  <c r="Y169" i="3"/>
  <c r="H171" i="3"/>
  <c r="W170" i="3"/>
  <c r="X170" i="3"/>
  <c r="Y170" i="3"/>
  <c r="H172" i="3"/>
  <c r="W171" i="3"/>
  <c r="X171" i="3"/>
  <c r="Y171" i="3"/>
  <c r="H173" i="3"/>
  <c r="W172" i="3"/>
  <c r="X172" i="3"/>
  <c r="Y172" i="3"/>
  <c r="H174" i="3"/>
  <c r="W173" i="3"/>
  <c r="X173" i="3"/>
  <c r="Y173" i="3"/>
  <c r="H175" i="3"/>
  <c r="W174" i="3"/>
  <c r="X174" i="3"/>
  <c r="Y174" i="3"/>
  <c r="H176" i="3"/>
  <c r="W175" i="3"/>
  <c r="X175" i="3"/>
  <c r="Y175" i="3"/>
  <c r="H177" i="3"/>
  <c r="W176" i="3"/>
  <c r="X176" i="3"/>
  <c r="Y176" i="3"/>
  <c r="H178" i="3"/>
  <c r="W177" i="3"/>
  <c r="X177" i="3"/>
  <c r="Y177" i="3"/>
  <c r="H179" i="3"/>
  <c r="W178" i="3"/>
  <c r="X178" i="3"/>
  <c r="Y178" i="3"/>
  <c r="H180" i="3"/>
  <c r="W179" i="3"/>
  <c r="X179" i="3"/>
  <c r="Y179" i="3"/>
  <c r="H181" i="3"/>
  <c r="W180" i="3"/>
  <c r="X180" i="3"/>
  <c r="Y180" i="3"/>
  <c r="H182" i="3"/>
  <c r="W181" i="3"/>
  <c r="X181" i="3"/>
  <c r="Y181" i="3"/>
  <c r="H183" i="3"/>
  <c r="W182" i="3"/>
  <c r="X182" i="3"/>
  <c r="Y182" i="3"/>
  <c r="H184" i="3"/>
  <c r="W183" i="3"/>
  <c r="X183" i="3"/>
  <c r="Y183" i="3"/>
  <c r="H185" i="3"/>
  <c r="W184" i="3"/>
  <c r="X184" i="3"/>
  <c r="Y184" i="3"/>
  <c r="H186" i="3"/>
  <c r="W185" i="3"/>
  <c r="X185" i="3"/>
  <c r="Y185" i="3"/>
  <c r="H187" i="3"/>
  <c r="W186" i="3"/>
  <c r="X186" i="3"/>
  <c r="Y186" i="3"/>
  <c r="H188" i="3"/>
  <c r="W187" i="3"/>
  <c r="X187" i="3"/>
  <c r="Y187" i="3"/>
  <c r="H189" i="3"/>
  <c r="W188" i="3"/>
  <c r="X188" i="3"/>
  <c r="Y188" i="3"/>
  <c r="H190" i="3"/>
  <c r="W189" i="3"/>
  <c r="X189" i="3"/>
  <c r="Y189" i="3"/>
  <c r="H191" i="3"/>
  <c r="W190" i="3"/>
  <c r="X190" i="3"/>
  <c r="Y190" i="3"/>
  <c r="H192" i="3"/>
  <c r="W191" i="3"/>
  <c r="X191" i="3"/>
  <c r="Y191" i="3"/>
  <c r="H193" i="3"/>
  <c r="W192" i="3"/>
  <c r="X192" i="3"/>
  <c r="Y192" i="3"/>
  <c r="H194" i="3"/>
  <c r="W193" i="3"/>
  <c r="X193" i="3"/>
  <c r="Y193" i="3"/>
  <c r="H195" i="3"/>
  <c r="W194" i="3"/>
  <c r="X194" i="3"/>
  <c r="Y194" i="3"/>
  <c r="H196" i="3"/>
  <c r="W195" i="3"/>
  <c r="X195" i="3"/>
  <c r="Y195" i="3"/>
  <c r="H197" i="3"/>
  <c r="W196" i="3"/>
  <c r="X196" i="3"/>
  <c r="Y196" i="3"/>
  <c r="H198" i="3"/>
  <c r="W197" i="3"/>
  <c r="X197" i="3"/>
  <c r="Y197" i="3"/>
  <c r="H199" i="3"/>
  <c r="W198" i="3"/>
  <c r="X198" i="3"/>
  <c r="Y198" i="3"/>
  <c r="H200" i="3"/>
  <c r="W199" i="3"/>
  <c r="X199" i="3"/>
  <c r="Y199" i="3"/>
  <c r="H201" i="3"/>
  <c r="W200" i="3"/>
  <c r="X200" i="3"/>
  <c r="Y200" i="3"/>
  <c r="H202" i="3"/>
  <c r="W201" i="3"/>
  <c r="X201" i="3"/>
  <c r="Y201" i="3"/>
  <c r="H203" i="3"/>
  <c r="W202" i="3"/>
  <c r="X202" i="3"/>
  <c r="Y202" i="3"/>
  <c r="H204" i="3"/>
  <c r="W203" i="3"/>
  <c r="X203" i="3"/>
  <c r="Y203" i="3"/>
  <c r="H205" i="3"/>
  <c r="W204" i="3"/>
  <c r="X204" i="3"/>
  <c r="Y204" i="3"/>
  <c r="H206" i="3"/>
  <c r="W205" i="3"/>
  <c r="X205" i="3"/>
  <c r="Y205" i="3"/>
  <c r="H207" i="3"/>
  <c r="W206" i="3"/>
  <c r="X206" i="3"/>
  <c r="Y206" i="3"/>
  <c r="H208" i="3"/>
  <c r="W207" i="3"/>
  <c r="X207" i="3"/>
  <c r="Y207" i="3"/>
  <c r="H209" i="3"/>
  <c r="W208" i="3"/>
  <c r="X208" i="3"/>
  <c r="Y208" i="3"/>
  <c r="H210" i="3"/>
  <c r="W209" i="3"/>
  <c r="X209" i="3"/>
  <c r="Y209" i="3"/>
  <c r="H211" i="3"/>
  <c r="W210" i="3"/>
  <c r="X210" i="3"/>
  <c r="Y210" i="3"/>
  <c r="H212" i="3"/>
  <c r="W211" i="3"/>
  <c r="X211" i="3"/>
  <c r="Y211" i="3"/>
  <c r="H213" i="3"/>
  <c r="W212" i="3"/>
  <c r="X212" i="3"/>
  <c r="Y212" i="3"/>
  <c r="H214" i="3"/>
  <c r="W213" i="3"/>
  <c r="X213" i="3"/>
  <c r="Y213" i="3"/>
  <c r="H215" i="3"/>
  <c r="W214" i="3"/>
  <c r="X214" i="3"/>
  <c r="Y214" i="3"/>
  <c r="H216" i="3"/>
  <c r="W215" i="3"/>
  <c r="X215" i="3"/>
  <c r="Y215" i="3"/>
  <c r="H217" i="3"/>
  <c r="W216" i="3"/>
  <c r="X216" i="3"/>
  <c r="Y216" i="3"/>
  <c r="H218" i="3"/>
  <c r="W217" i="3"/>
  <c r="X217" i="3"/>
  <c r="Y217" i="3"/>
  <c r="H219" i="3"/>
  <c r="W218" i="3"/>
  <c r="X218" i="3"/>
  <c r="Y218" i="3"/>
  <c r="H220" i="3"/>
  <c r="W219" i="3"/>
  <c r="X219" i="3"/>
  <c r="Y219" i="3"/>
  <c r="H221" i="3"/>
  <c r="W220" i="3"/>
  <c r="X220" i="3"/>
  <c r="Y220" i="3"/>
  <c r="H222" i="3"/>
  <c r="W221" i="3"/>
  <c r="X221" i="3"/>
  <c r="Y221" i="3"/>
  <c r="H223" i="3"/>
  <c r="W222" i="3"/>
  <c r="X222" i="3"/>
  <c r="Y222" i="3"/>
  <c r="H224" i="3"/>
  <c r="W223" i="3"/>
  <c r="X223" i="3"/>
  <c r="Y223" i="3"/>
  <c r="H225" i="3"/>
  <c r="W224" i="3"/>
  <c r="X224" i="3"/>
  <c r="Y224" i="3"/>
  <c r="H226" i="3"/>
  <c r="W225" i="3"/>
  <c r="X225" i="3"/>
  <c r="Y225" i="3"/>
  <c r="H227" i="3"/>
  <c r="W226" i="3"/>
  <c r="X226" i="3"/>
  <c r="Y226" i="3"/>
  <c r="H228" i="3"/>
  <c r="W227" i="3"/>
  <c r="X227" i="3"/>
  <c r="Y227" i="3"/>
  <c r="H229" i="3"/>
  <c r="W228" i="3"/>
  <c r="X228" i="3"/>
  <c r="Y228" i="3"/>
  <c r="H230" i="3"/>
  <c r="W229" i="3"/>
  <c r="X229" i="3"/>
  <c r="Y229" i="3"/>
  <c r="H231" i="3"/>
  <c r="W230" i="3"/>
  <c r="X230" i="3"/>
  <c r="Y230" i="3"/>
  <c r="H232" i="3"/>
  <c r="W231" i="3"/>
  <c r="X231" i="3"/>
  <c r="Y231" i="3"/>
  <c r="H233" i="3"/>
  <c r="W232" i="3"/>
  <c r="X232" i="3"/>
  <c r="Y232" i="3"/>
  <c r="H234" i="3"/>
  <c r="W233" i="3"/>
  <c r="X233" i="3"/>
  <c r="Y233" i="3"/>
  <c r="H235" i="3"/>
  <c r="W234" i="3"/>
  <c r="X234" i="3"/>
  <c r="Y234" i="3"/>
  <c r="H236" i="3"/>
  <c r="W235" i="3"/>
  <c r="X235" i="3"/>
  <c r="Y235" i="3"/>
  <c r="H237" i="3"/>
  <c r="W236" i="3"/>
  <c r="X236" i="3"/>
  <c r="Y236" i="3"/>
  <c r="H238" i="3"/>
  <c r="W237" i="3"/>
  <c r="X237" i="3"/>
  <c r="Y237" i="3"/>
  <c r="H239" i="3"/>
  <c r="W238" i="3"/>
  <c r="X238" i="3"/>
  <c r="Y238" i="3"/>
  <c r="H240" i="3"/>
  <c r="W239" i="3"/>
  <c r="X239" i="3"/>
  <c r="Y239" i="3"/>
  <c r="H241" i="3"/>
  <c r="W240" i="3"/>
  <c r="X240" i="3"/>
  <c r="Y240" i="3"/>
  <c r="H242" i="3"/>
  <c r="W241" i="3"/>
  <c r="X241" i="3"/>
  <c r="Y241" i="3"/>
  <c r="H243" i="3"/>
  <c r="W242" i="3"/>
  <c r="X242" i="3"/>
  <c r="Y242" i="3"/>
  <c r="H244" i="3"/>
  <c r="W243" i="3"/>
  <c r="X243" i="3"/>
  <c r="Y243" i="3"/>
  <c r="H245" i="3"/>
  <c r="W244" i="3"/>
  <c r="X244" i="3"/>
  <c r="Y244" i="3"/>
  <c r="H246" i="3"/>
  <c r="W245" i="3"/>
  <c r="X245" i="3"/>
  <c r="Y245" i="3"/>
  <c r="H247" i="3"/>
  <c r="W246" i="3"/>
  <c r="X246" i="3"/>
  <c r="Y246" i="3"/>
  <c r="H248" i="3"/>
  <c r="W247" i="3"/>
  <c r="X247" i="3"/>
  <c r="Y247" i="3"/>
  <c r="H249" i="3"/>
  <c r="W248" i="3"/>
  <c r="X248" i="3"/>
  <c r="Y248" i="3"/>
  <c r="H250" i="3"/>
  <c r="W249" i="3"/>
  <c r="X249" i="3"/>
  <c r="Y249" i="3"/>
  <c r="H251" i="3"/>
  <c r="W250" i="3"/>
  <c r="X250" i="3"/>
  <c r="Y250" i="3"/>
  <c r="H252" i="3"/>
  <c r="W251" i="3"/>
  <c r="X251" i="3"/>
  <c r="Y251" i="3"/>
  <c r="H253" i="3"/>
  <c r="W252" i="3"/>
  <c r="X252" i="3"/>
  <c r="Y252" i="3"/>
  <c r="H254" i="3"/>
  <c r="W253" i="3"/>
  <c r="X253" i="3"/>
  <c r="Y253" i="3"/>
  <c r="H255" i="3"/>
  <c r="W254" i="3"/>
  <c r="X254" i="3"/>
  <c r="Y254" i="3"/>
  <c r="H256" i="3"/>
  <c r="W255" i="3"/>
  <c r="X255" i="3"/>
  <c r="Y255" i="3"/>
  <c r="H257" i="3"/>
  <c r="W256" i="3"/>
  <c r="X256" i="3"/>
  <c r="Y256" i="3"/>
  <c r="H258" i="3"/>
  <c r="W257" i="3"/>
  <c r="X257" i="3"/>
  <c r="Y257" i="3"/>
  <c r="H259" i="3"/>
  <c r="W258" i="3"/>
  <c r="X258" i="3"/>
  <c r="Y258" i="3"/>
  <c r="H260" i="3"/>
  <c r="W259" i="3"/>
  <c r="X259" i="3"/>
  <c r="Y259" i="3"/>
  <c r="H261" i="3"/>
  <c r="W260" i="3"/>
  <c r="X260" i="3"/>
  <c r="Y260" i="3"/>
  <c r="H262" i="3"/>
  <c r="W261" i="3"/>
  <c r="X261" i="3"/>
  <c r="Y261" i="3"/>
  <c r="H263" i="3"/>
  <c r="W262" i="3"/>
  <c r="X262" i="3"/>
  <c r="Y262" i="3"/>
  <c r="H264" i="3"/>
  <c r="W263" i="3"/>
  <c r="X263" i="3"/>
  <c r="Y263" i="3"/>
  <c r="H265" i="3"/>
  <c r="W264" i="3"/>
  <c r="X264" i="3"/>
  <c r="Y264" i="3"/>
  <c r="H266" i="3"/>
  <c r="W265" i="3"/>
  <c r="X265" i="3"/>
  <c r="Y265" i="3"/>
  <c r="H267" i="3"/>
  <c r="W266" i="3"/>
  <c r="X266" i="3"/>
  <c r="Y266" i="3"/>
  <c r="H268" i="3"/>
  <c r="W267" i="3"/>
  <c r="X267" i="3"/>
  <c r="Y267" i="3"/>
  <c r="H269" i="3"/>
  <c r="W268" i="3"/>
  <c r="X268" i="3"/>
  <c r="Y268" i="3"/>
  <c r="H270" i="3"/>
  <c r="W269" i="3"/>
  <c r="X269" i="3"/>
  <c r="Y269" i="3"/>
  <c r="H271" i="3"/>
  <c r="W270" i="3"/>
  <c r="X270" i="3"/>
  <c r="Y270" i="3"/>
  <c r="H272" i="3"/>
  <c r="W271" i="3"/>
  <c r="X271" i="3"/>
  <c r="Y271" i="3"/>
  <c r="H273" i="3"/>
  <c r="W272" i="3"/>
  <c r="X272" i="3"/>
  <c r="Y272" i="3"/>
  <c r="H274" i="3"/>
  <c r="W273" i="3"/>
  <c r="X273" i="3"/>
  <c r="Y273" i="3"/>
  <c r="H275" i="3"/>
  <c r="W274" i="3"/>
  <c r="X274" i="3"/>
  <c r="Y274" i="3"/>
  <c r="H276" i="3"/>
  <c r="W275" i="3"/>
  <c r="X275" i="3"/>
  <c r="Y275" i="3"/>
  <c r="H277" i="3"/>
  <c r="W276" i="3"/>
  <c r="X276" i="3"/>
  <c r="Y276" i="3"/>
  <c r="H278" i="3"/>
  <c r="W277" i="3"/>
  <c r="X277" i="3"/>
  <c r="Y277" i="3"/>
  <c r="H279" i="3"/>
  <c r="W278" i="3"/>
  <c r="X278" i="3"/>
  <c r="Y278" i="3"/>
  <c r="H280" i="3"/>
  <c r="W279" i="3"/>
  <c r="X279" i="3"/>
  <c r="Y279" i="3"/>
  <c r="H281" i="3"/>
  <c r="W280" i="3"/>
  <c r="X280" i="3"/>
  <c r="Y280" i="3"/>
  <c r="H282" i="3"/>
  <c r="W281" i="3"/>
  <c r="X281" i="3"/>
  <c r="Y281" i="3"/>
  <c r="H283" i="3"/>
  <c r="W282" i="3"/>
  <c r="X282" i="3"/>
  <c r="Y282" i="3"/>
  <c r="H284" i="3"/>
  <c r="W283" i="3"/>
  <c r="X283" i="3"/>
  <c r="Y283" i="3"/>
  <c r="H285" i="3"/>
  <c r="W284" i="3"/>
  <c r="X284" i="3"/>
  <c r="Y284" i="3"/>
  <c r="H286" i="3"/>
  <c r="W285" i="3"/>
  <c r="X285" i="3"/>
  <c r="Y285" i="3"/>
  <c r="H287" i="3"/>
  <c r="W286" i="3"/>
  <c r="X286" i="3"/>
  <c r="Y286" i="3"/>
  <c r="H288" i="3"/>
  <c r="W287" i="3"/>
  <c r="X287" i="3"/>
  <c r="Y287" i="3"/>
  <c r="H289" i="3"/>
  <c r="W288" i="3"/>
  <c r="X288" i="3"/>
  <c r="Y288" i="3"/>
  <c r="H290" i="3"/>
  <c r="W289" i="3"/>
  <c r="X289" i="3"/>
  <c r="Y289" i="3"/>
  <c r="H291" i="3"/>
  <c r="W290" i="3"/>
  <c r="X290" i="3"/>
  <c r="Y290" i="3"/>
  <c r="H292" i="3"/>
  <c r="W291" i="3"/>
  <c r="X291" i="3"/>
  <c r="Y291" i="3"/>
  <c r="H293" i="3"/>
  <c r="W292" i="3"/>
  <c r="X292" i="3"/>
  <c r="Y292" i="3"/>
  <c r="H294" i="3"/>
  <c r="W293" i="3"/>
  <c r="X293" i="3"/>
  <c r="Y293" i="3"/>
  <c r="H295" i="3"/>
  <c r="W294" i="3"/>
  <c r="X294" i="3"/>
  <c r="Y294" i="3"/>
  <c r="H296" i="3"/>
  <c r="W295" i="3"/>
  <c r="X295" i="3"/>
  <c r="Y295" i="3"/>
  <c r="H297" i="3"/>
  <c r="W296" i="3"/>
  <c r="X296" i="3"/>
  <c r="Y296" i="3"/>
  <c r="H298" i="3"/>
  <c r="W297" i="3"/>
  <c r="X297" i="3"/>
  <c r="Y297" i="3"/>
  <c r="H299" i="3"/>
  <c r="W298" i="3"/>
  <c r="X298" i="3"/>
  <c r="Y298" i="3"/>
  <c r="H300" i="3"/>
  <c r="W299" i="3"/>
  <c r="X299" i="3"/>
  <c r="Y299" i="3"/>
  <c r="H301" i="3"/>
  <c r="W300" i="3"/>
  <c r="X300" i="3"/>
  <c r="Y300" i="3"/>
  <c r="H302" i="3"/>
  <c r="W301" i="3"/>
  <c r="X301" i="3"/>
  <c r="Y301" i="3"/>
  <c r="H303" i="3"/>
  <c r="W302" i="3"/>
  <c r="X302" i="3"/>
  <c r="Y302" i="3"/>
  <c r="H304" i="3"/>
  <c r="W303" i="3"/>
  <c r="X303" i="3"/>
  <c r="Y303" i="3"/>
  <c r="H305" i="3"/>
  <c r="W304" i="3"/>
  <c r="X304" i="3"/>
  <c r="Y304" i="3"/>
  <c r="H306" i="3"/>
  <c r="W305" i="3"/>
  <c r="X305" i="3"/>
  <c r="Y305" i="3"/>
  <c r="H307" i="3"/>
  <c r="W306" i="3"/>
  <c r="X306" i="3"/>
  <c r="Y306" i="3"/>
  <c r="H308" i="3"/>
  <c r="W307" i="3"/>
  <c r="X307" i="3"/>
  <c r="Y307" i="3"/>
  <c r="H309" i="3"/>
  <c r="W308" i="3"/>
  <c r="X308" i="3"/>
  <c r="Y308" i="3"/>
  <c r="H310" i="3"/>
  <c r="W309" i="3"/>
  <c r="X309" i="3"/>
  <c r="Y309" i="3"/>
  <c r="H311" i="3"/>
  <c r="W310" i="3"/>
  <c r="X310" i="3"/>
  <c r="Y310" i="3"/>
  <c r="H312" i="3"/>
  <c r="W311" i="3"/>
  <c r="X311" i="3"/>
  <c r="Y311" i="3"/>
  <c r="H313" i="3"/>
  <c r="W312" i="3"/>
  <c r="X312" i="3"/>
  <c r="Y312" i="3"/>
  <c r="H314" i="3"/>
  <c r="W313" i="3"/>
  <c r="X313" i="3"/>
  <c r="Y313" i="3"/>
  <c r="H315" i="3"/>
  <c r="W314" i="3"/>
  <c r="X314" i="3"/>
  <c r="Y314" i="3"/>
  <c r="H316" i="3"/>
  <c r="W315" i="3"/>
  <c r="X315" i="3"/>
  <c r="Y315" i="3"/>
  <c r="H317" i="3"/>
  <c r="W316" i="3"/>
  <c r="X316" i="3"/>
  <c r="Y316" i="3"/>
  <c r="H318" i="3"/>
  <c r="W317" i="3"/>
  <c r="X317" i="3"/>
  <c r="Y317" i="3"/>
  <c r="H319" i="3"/>
  <c r="W318" i="3"/>
  <c r="X318" i="3"/>
  <c r="Y318" i="3"/>
  <c r="H320" i="3"/>
  <c r="W319" i="3"/>
  <c r="X319" i="3"/>
  <c r="Y319" i="3"/>
  <c r="H321" i="3"/>
  <c r="W320" i="3"/>
  <c r="X320" i="3"/>
  <c r="Y320" i="3"/>
  <c r="H322" i="3"/>
  <c r="W321" i="3"/>
  <c r="X321" i="3"/>
  <c r="Y321" i="3"/>
  <c r="H323" i="3"/>
  <c r="W322" i="3"/>
  <c r="X322" i="3"/>
  <c r="Y322" i="3"/>
  <c r="H324" i="3"/>
  <c r="W323" i="3"/>
  <c r="X323" i="3"/>
  <c r="Y323" i="3"/>
  <c r="H325" i="3"/>
  <c r="W324" i="3"/>
  <c r="X324" i="3"/>
  <c r="Y324" i="3"/>
  <c r="H326" i="3"/>
  <c r="W325" i="3"/>
  <c r="X325" i="3"/>
  <c r="Y325" i="3"/>
  <c r="H327" i="3"/>
  <c r="W326" i="3"/>
  <c r="X326" i="3"/>
  <c r="Y326" i="3"/>
  <c r="H328" i="3"/>
  <c r="W327" i="3"/>
  <c r="X327" i="3"/>
  <c r="Y327" i="3"/>
  <c r="H329" i="3"/>
  <c r="W328" i="3"/>
  <c r="X328" i="3"/>
  <c r="Y328" i="3"/>
  <c r="H330" i="3"/>
  <c r="W329" i="3"/>
  <c r="X329" i="3"/>
  <c r="Y329" i="3"/>
  <c r="H331" i="3"/>
  <c r="W330" i="3"/>
  <c r="X330" i="3"/>
  <c r="Y330" i="3"/>
  <c r="H332" i="3"/>
  <c r="W331" i="3"/>
  <c r="X331" i="3"/>
  <c r="Y331" i="3"/>
  <c r="H333" i="3"/>
  <c r="W332" i="3"/>
  <c r="X332" i="3"/>
  <c r="Y332" i="3"/>
  <c r="H334" i="3"/>
  <c r="W333" i="3"/>
  <c r="X333" i="3"/>
  <c r="Y333" i="3"/>
  <c r="H335" i="3"/>
  <c r="W334" i="3"/>
  <c r="X334" i="3"/>
  <c r="Y334" i="3"/>
  <c r="H336" i="3"/>
  <c r="W335" i="3"/>
  <c r="X335" i="3"/>
  <c r="Y335" i="3"/>
  <c r="H337" i="3"/>
  <c r="W336" i="3"/>
  <c r="X336" i="3"/>
  <c r="Y336" i="3"/>
  <c r="H338" i="3"/>
  <c r="W337" i="3"/>
  <c r="X337" i="3"/>
  <c r="Y337" i="3"/>
  <c r="H339" i="3"/>
  <c r="W338" i="3"/>
  <c r="X338" i="3"/>
  <c r="Y338" i="3"/>
  <c r="H340" i="3"/>
  <c r="W339" i="3"/>
  <c r="X339" i="3"/>
  <c r="Y339" i="3"/>
  <c r="H341" i="3"/>
  <c r="W340" i="3"/>
  <c r="X340" i="3"/>
  <c r="Y340" i="3"/>
  <c r="H342" i="3"/>
  <c r="W341" i="3"/>
  <c r="X341" i="3"/>
  <c r="Y341" i="3"/>
  <c r="H343" i="3"/>
  <c r="W342" i="3"/>
  <c r="X342" i="3"/>
  <c r="Y342" i="3"/>
  <c r="H344" i="3"/>
  <c r="W343" i="3"/>
  <c r="X343" i="3"/>
  <c r="Y343" i="3"/>
  <c r="H345" i="3"/>
  <c r="W344" i="3"/>
  <c r="X344" i="3"/>
  <c r="Y344" i="3"/>
  <c r="H346" i="3"/>
  <c r="W345" i="3"/>
  <c r="X345" i="3"/>
  <c r="Y345" i="3"/>
  <c r="H347" i="3"/>
  <c r="W346" i="3"/>
  <c r="X346" i="3"/>
  <c r="Y346" i="3"/>
  <c r="H348" i="3"/>
  <c r="W347" i="3"/>
  <c r="X347" i="3"/>
  <c r="Y347" i="3"/>
  <c r="H349" i="3"/>
  <c r="W348" i="3"/>
  <c r="X348" i="3"/>
  <c r="Y348" i="3"/>
  <c r="H350" i="3"/>
  <c r="W349" i="3"/>
  <c r="X349" i="3"/>
  <c r="Y349" i="3"/>
  <c r="H351" i="3"/>
  <c r="W350" i="3"/>
  <c r="X350" i="3"/>
  <c r="Y350" i="3"/>
  <c r="H352" i="3"/>
  <c r="W351" i="3"/>
  <c r="X351" i="3"/>
  <c r="Y351" i="3"/>
  <c r="H353" i="3"/>
  <c r="W352" i="3"/>
  <c r="X352" i="3"/>
  <c r="Y352" i="3"/>
  <c r="H354" i="3"/>
  <c r="W353" i="3"/>
  <c r="X353" i="3"/>
  <c r="Y353" i="3"/>
  <c r="H355" i="3"/>
  <c r="W354" i="3"/>
  <c r="X354" i="3"/>
  <c r="Y354" i="3"/>
  <c r="H356" i="3"/>
  <c r="W355" i="3"/>
  <c r="X355" i="3"/>
  <c r="Y355" i="3"/>
  <c r="H357" i="3"/>
  <c r="W356" i="3"/>
  <c r="X356" i="3"/>
  <c r="Y356" i="3"/>
  <c r="H358" i="3"/>
  <c r="W357" i="3"/>
  <c r="X357" i="3"/>
  <c r="Y357" i="3"/>
  <c r="H359" i="3"/>
  <c r="W358" i="3"/>
  <c r="X358" i="3"/>
  <c r="Y358" i="3"/>
  <c r="H360" i="3"/>
  <c r="W359" i="3"/>
  <c r="X359" i="3"/>
  <c r="Y359" i="3"/>
  <c r="H361" i="3"/>
  <c r="W360" i="3"/>
  <c r="X360" i="3"/>
  <c r="Y360" i="3"/>
  <c r="H362" i="3"/>
  <c r="W361" i="3"/>
  <c r="X361" i="3"/>
  <c r="Y361" i="3"/>
  <c r="H363" i="3"/>
  <c r="W362" i="3"/>
  <c r="X362" i="3"/>
  <c r="Y362" i="3"/>
  <c r="H364" i="3"/>
  <c r="W363" i="3"/>
  <c r="X363" i="3"/>
  <c r="Y363" i="3"/>
  <c r="H365" i="3"/>
  <c r="W364" i="3"/>
  <c r="X364" i="3"/>
  <c r="Y364" i="3"/>
  <c r="H366" i="3"/>
  <c r="W365" i="3"/>
  <c r="X365" i="3"/>
  <c r="Y365" i="3"/>
  <c r="H367" i="3"/>
  <c r="W366" i="3"/>
  <c r="X366" i="3"/>
  <c r="Y366" i="3"/>
  <c r="H368" i="3"/>
  <c r="W367" i="3"/>
  <c r="X367" i="3"/>
  <c r="Y367" i="3"/>
  <c r="H369" i="3"/>
  <c r="W368" i="3"/>
  <c r="X368" i="3"/>
  <c r="Y368" i="3"/>
  <c r="H370" i="3"/>
  <c r="W369" i="3"/>
  <c r="X369" i="3"/>
  <c r="Y369" i="3"/>
  <c r="H371" i="3"/>
  <c r="W370" i="3"/>
  <c r="X370" i="3"/>
  <c r="Y370" i="3"/>
  <c r="H372" i="3"/>
  <c r="W371" i="3"/>
  <c r="X371" i="3"/>
  <c r="Y371" i="3"/>
  <c r="H373" i="3"/>
  <c r="W372" i="3"/>
  <c r="X372" i="3"/>
  <c r="Y372" i="3"/>
  <c r="H374" i="3"/>
  <c r="W373" i="3"/>
  <c r="X373" i="3"/>
  <c r="Y373" i="3"/>
  <c r="H375" i="3"/>
  <c r="W374" i="3"/>
  <c r="X374" i="3"/>
  <c r="Y374" i="3"/>
  <c r="H376" i="3"/>
  <c r="W375" i="3"/>
  <c r="X375" i="3"/>
  <c r="Y375" i="3"/>
  <c r="H377" i="3"/>
  <c r="W376" i="3"/>
  <c r="X376" i="3"/>
  <c r="Y376" i="3"/>
  <c r="H378" i="3"/>
  <c r="W377" i="3"/>
  <c r="X377" i="3"/>
  <c r="Y377" i="3"/>
  <c r="H379" i="3"/>
  <c r="W378" i="3"/>
  <c r="X378" i="3"/>
  <c r="Y378" i="3"/>
  <c r="H380" i="3"/>
  <c r="W379" i="3"/>
  <c r="X379" i="3"/>
  <c r="Y379" i="3"/>
  <c r="H381" i="3"/>
  <c r="W380" i="3"/>
  <c r="X380" i="3"/>
  <c r="Y380" i="3"/>
  <c r="H382" i="3"/>
  <c r="W381" i="3"/>
  <c r="X381" i="3"/>
  <c r="Y381" i="3"/>
  <c r="H383" i="3"/>
  <c r="W382" i="3"/>
  <c r="X382" i="3"/>
  <c r="Y382" i="3"/>
  <c r="H384" i="3"/>
  <c r="W383" i="3"/>
  <c r="X383" i="3"/>
  <c r="Y383" i="3"/>
  <c r="H385" i="3"/>
  <c r="W384" i="3"/>
  <c r="X384" i="3"/>
  <c r="Y384" i="3"/>
  <c r="H386" i="3"/>
  <c r="W385" i="3"/>
  <c r="X385" i="3"/>
  <c r="Y385" i="3"/>
  <c r="H387" i="3"/>
  <c r="W386" i="3"/>
  <c r="X386" i="3"/>
  <c r="Y386" i="3"/>
  <c r="H388" i="3"/>
  <c r="W387" i="3"/>
  <c r="X387" i="3"/>
  <c r="Y387" i="3"/>
  <c r="H389" i="3"/>
  <c r="W388" i="3"/>
  <c r="X388" i="3"/>
  <c r="Y388" i="3"/>
  <c r="H390" i="3"/>
  <c r="W389" i="3"/>
  <c r="X389" i="3"/>
  <c r="Y389" i="3"/>
  <c r="H391" i="3"/>
  <c r="W390" i="3"/>
  <c r="X390" i="3"/>
  <c r="Y390" i="3"/>
  <c r="H392" i="3"/>
  <c r="W391" i="3"/>
  <c r="X391" i="3"/>
  <c r="Y391" i="3"/>
  <c r="H393" i="3"/>
  <c r="W392" i="3"/>
  <c r="X392" i="3"/>
  <c r="Y392" i="3"/>
  <c r="H394" i="3"/>
  <c r="W393" i="3"/>
  <c r="X393" i="3"/>
  <c r="Y393" i="3"/>
  <c r="H395" i="3"/>
  <c r="W394" i="3"/>
  <c r="X394" i="3"/>
  <c r="Y394" i="3"/>
  <c r="H396" i="3"/>
  <c r="W395" i="3"/>
  <c r="X395" i="3"/>
  <c r="Y395" i="3"/>
  <c r="H397" i="3"/>
  <c r="W396" i="3"/>
  <c r="X396" i="3"/>
  <c r="Y396" i="3"/>
  <c r="H398" i="3"/>
  <c r="W397" i="3"/>
  <c r="X397" i="3"/>
  <c r="Y397" i="3"/>
  <c r="H399" i="3"/>
  <c r="W398" i="3"/>
  <c r="X398" i="3"/>
  <c r="Y398" i="3"/>
  <c r="H400" i="3"/>
  <c r="W399" i="3"/>
  <c r="X399" i="3"/>
  <c r="Y399" i="3"/>
  <c r="H401" i="3"/>
  <c r="W400" i="3"/>
  <c r="X400" i="3"/>
  <c r="Y400" i="3"/>
  <c r="H402" i="3"/>
  <c r="W401" i="3"/>
  <c r="X401" i="3"/>
  <c r="Y401" i="3"/>
  <c r="H403" i="3"/>
  <c r="W402" i="3"/>
  <c r="X402" i="3"/>
  <c r="Y402" i="3"/>
  <c r="H404" i="3"/>
  <c r="W403" i="3"/>
  <c r="X403" i="3"/>
  <c r="Y403" i="3"/>
  <c r="H405" i="3"/>
  <c r="W404" i="3"/>
  <c r="X404" i="3"/>
  <c r="Y404" i="3"/>
  <c r="H406" i="3"/>
  <c r="W405" i="3"/>
  <c r="X405" i="3"/>
  <c r="Y405" i="3"/>
  <c r="H407" i="3"/>
  <c r="W406" i="3"/>
  <c r="X406" i="3"/>
  <c r="Y406" i="3"/>
  <c r="H408" i="3"/>
  <c r="W407" i="3"/>
  <c r="X407" i="3"/>
  <c r="Y407" i="3"/>
  <c r="H409" i="3"/>
  <c r="W408" i="3"/>
  <c r="X408" i="3"/>
  <c r="Y408" i="3"/>
  <c r="H410" i="3"/>
  <c r="W409" i="3"/>
  <c r="X409" i="3"/>
  <c r="Y409" i="3"/>
  <c r="H411" i="3"/>
  <c r="W410" i="3"/>
  <c r="X410" i="3"/>
  <c r="Y410" i="3"/>
  <c r="H412" i="3"/>
  <c r="W411" i="3"/>
  <c r="X411" i="3"/>
  <c r="Y411" i="3"/>
  <c r="H413" i="3"/>
  <c r="W412" i="3"/>
  <c r="X412" i="3"/>
  <c r="Y412" i="3"/>
  <c r="H414" i="3"/>
  <c r="W413" i="3"/>
  <c r="X413" i="3"/>
  <c r="Y413" i="3"/>
  <c r="H415" i="3"/>
  <c r="W414" i="3"/>
  <c r="X414" i="3"/>
  <c r="Y414" i="3"/>
  <c r="H416" i="3"/>
  <c r="W415" i="3"/>
  <c r="X415" i="3"/>
  <c r="Y415" i="3"/>
  <c r="H417" i="3"/>
  <c r="W416" i="3"/>
  <c r="X416" i="3"/>
  <c r="Y416" i="3"/>
  <c r="H418" i="3"/>
  <c r="W417" i="3"/>
  <c r="X417" i="3"/>
  <c r="Y417" i="3"/>
  <c r="H419" i="3"/>
  <c r="W418" i="3"/>
  <c r="X418" i="3"/>
  <c r="Y418" i="3"/>
  <c r="H420" i="3"/>
  <c r="W419" i="3"/>
  <c r="X419" i="3"/>
  <c r="Y419" i="3"/>
  <c r="H421" i="3"/>
  <c r="W420" i="3"/>
  <c r="X420" i="3"/>
  <c r="Y420" i="3"/>
  <c r="H422" i="3"/>
  <c r="W421" i="3"/>
  <c r="X421" i="3"/>
  <c r="Y421" i="3"/>
  <c r="H423" i="3"/>
  <c r="W422" i="3"/>
  <c r="X422" i="3"/>
  <c r="Y422" i="3"/>
  <c r="H424" i="3"/>
  <c r="W423" i="3"/>
  <c r="X423" i="3"/>
  <c r="Y423" i="3"/>
  <c r="H425" i="3"/>
  <c r="W424" i="3"/>
  <c r="X424" i="3"/>
  <c r="Y424" i="3"/>
  <c r="H426" i="3"/>
  <c r="W425" i="3"/>
  <c r="X425" i="3"/>
  <c r="Y425" i="3"/>
  <c r="H427" i="3"/>
  <c r="W426" i="3"/>
  <c r="X426" i="3"/>
  <c r="Y426" i="3"/>
  <c r="H428" i="3"/>
  <c r="W427" i="3"/>
  <c r="X427" i="3"/>
  <c r="Y427" i="3"/>
  <c r="H429" i="3"/>
  <c r="W428" i="3"/>
  <c r="X428" i="3"/>
  <c r="Y428" i="3"/>
  <c r="H430" i="3"/>
  <c r="W429" i="3"/>
  <c r="X429" i="3"/>
  <c r="Y429" i="3"/>
  <c r="H431" i="3"/>
  <c r="W430" i="3"/>
  <c r="X430" i="3"/>
  <c r="Y430" i="3"/>
  <c r="H432" i="3"/>
  <c r="W431" i="3"/>
  <c r="X431" i="3"/>
  <c r="Y431" i="3"/>
  <c r="H433" i="3"/>
  <c r="W432" i="3"/>
  <c r="X432" i="3"/>
  <c r="Y432" i="3"/>
  <c r="H434" i="3"/>
  <c r="W433" i="3"/>
  <c r="X433" i="3"/>
  <c r="Y433" i="3"/>
  <c r="H435" i="3"/>
  <c r="W434" i="3"/>
  <c r="X434" i="3"/>
  <c r="Y434" i="3"/>
  <c r="H436" i="3"/>
  <c r="W435" i="3"/>
  <c r="X435" i="3"/>
  <c r="Y435" i="3"/>
  <c r="H437" i="3"/>
  <c r="W436" i="3"/>
  <c r="X436" i="3"/>
  <c r="Y436" i="3"/>
  <c r="H438" i="3"/>
  <c r="W437" i="3"/>
  <c r="X437" i="3"/>
  <c r="Y437" i="3"/>
  <c r="H439" i="3"/>
  <c r="W438" i="3"/>
  <c r="X438" i="3"/>
  <c r="Y438" i="3"/>
  <c r="H440" i="3"/>
  <c r="W439" i="3"/>
  <c r="X439" i="3"/>
  <c r="Y439" i="3"/>
  <c r="H441" i="3"/>
  <c r="W440" i="3"/>
  <c r="X440" i="3"/>
  <c r="Y440" i="3"/>
  <c r="H442" i="3"/>
  <c r="W441" i="3"/>
  <c r="X441" i="3"/>
  <c r="Y441" i="3"/>
  <c r="H443" i="3"/>
  <c r="W442" i="3"/>
  <c r="X442" i="3"/>
  <c r="Y442" i="3"/>
  <c r="H444" i="3"/>
  <c r="W443" i="3"/>
  <c r="X443" i="3"/>
  <c r="Y443" i="3"/>
  <c r="H445" i="3"/>
  <c r="W444" i="3"/>
  <c r="X444" i="3"/>
  <c r="Y444" i="3"/>
  <c r="H446" i="3"/>
  <c r="W445" i="3"/>
  <c r="X445" i="3"/>
  <c r="Y445" i="3"/>
  <c r="H447" i="3"/>
  <c r="W446" i="3"/>
  <c r="X446" i="3"/>
  <c r="Y446" i="3"/>
  <c r="H448" i="3"/>
  <c r="W447" i="3"/>
  <c r="X447" i="3"/>
  <c r="Y447" i="3"/>
  <c r="H449" i="3"/>
  <c r="W448" i="3"/>
  <c r="X448" i="3"/>
  <c r="Y448" i="3"/>
  <c r="H450" i="3"/>
  <c r="W449" i="3"/>
  <c r="X449" i="3"/>
  <c r="Y449" i="3"/>
  <c r="H451" i="3"/>
  <c r="W450" i="3"/>
  <c r="X450" i="3"/>
  <c r="Y450" i="3"/>
  <c r="H452" i="3"/>
  <c r="W451" i="3"/>
  <c r="X451" i="3"/>
  <c r="Y451" i="3"/>
  <c r="H453" i="3"/>
  <c r="W452" i="3"/>
  <c r="X452" i="3"/>
  <c r="Y452" i="3"/>
  <c r="H454" i="3"/>
  <c r="W453" i="3"/>
  <c r="X453" i="3"/>
  <c r="Y453" i="3"/>
  <c r="H455" i="3"/>
  <c r="W454" i="3"/>
  <c r="X454" i="3"/>
  <c r="Y454" i="3"/>
  <c r="H456" i="3"/>
  <c r="W455" i="3"/>
  <c r="X455" i="3"/>
  <c r="Y455" i="3"/>
  <c r="H457" i="3"/>
  <c r="W456" i="3"/>
  <c r="X456" i="3"/>
  <c r="Y456" i="3"/>
  <c r="H458" i="3"/>
  <c r="W457" i="3"/>
  <c r="X457" i="3"/>
  <c r="Y457" i="3"/>
  <c r="H459" i="3"/>
  <c r="W458" i="3"/>
  <c r="X458" i="3"/>
  <c r="Y458" i="3"/>
  <c r="H460" i="3"/>
  <c r="W459" i="3"/>
  <c r="X459" i="3"/>
  <c r="Y459" i="3"/>
  <c r="H461" i="3"/>
  <c r="W460" i="3"/>
  <c r="X460" i="3"/>
  <c r="Y460" i="3"/>
  <c r="H462" i="3"/>
  <c r="W461" i="3"/>
  <c r="X461" i="3"/>
  <c r="Y461" i="3"/>
  <c r="H463" i="3"/>
  <c r="W462" i="3"/>
  <c r="X462" i="3"/>
  <c r="Y462" i="3"/>
  <c r="H464" i="3"/>
  <c r="W463" i="3"/>
  <c r="X463" i="3"/>
  <c r="Y463" i="3"/>
  <c r="H465" i="3"/>
  <c r="W464" i="3"/>
  <c r="X464" i="3"/>
  <c r="Y464" i="3"/>
  <c r="H466" i="3"/>
  <c r="W465" i="3"/>
  <c r="X465" i="3"/>
  <c r="Y465" i="3"/>
  <c r="H467" i="3"/>
  <c r="W466" i="3"/>
  <c r="X466" i="3"/>
  <c r="Y466" i="3"/>
  <c r="H468" i="3"/>
  <c r="W467" i="3"/>
  <c r="X467" i="3"/>
  <c r="Y467" i="3"/>
  <c r="H469" i="3"/>
  <c r="W468" i="3"/>
  <c r="X468" i="3"/>
  <c r="Y468" i="3"/>
  <c r="H470" i="3"/>
  <c r="W469" i="3"/>
  <c r="X469" i="3"/>
  <c r="Y469" i="3"/>
  <c r="H471" i="3"/>
  <c r="W470" i="3"/>
  <c r="X470" i="3"/>
  <c r="Y470" i="3"/>
  <c r="H472" i="3"/>
  <c r="W471" i="3"/>
  <c r="X471" i="3"/>
  <c r="Y471" i="3"/>
  <c r="H473" i="3"/>
  <c r="W472" i="3"/>
  <c r="X472" i="3"/>
  <c r="Y472" i="3"/>
  <c r="H474" i="3"/>
  <c r="W473" i="3"/>
  <c r="X473" i="3"/>
  <c r="Y473" i="3"/>
  <c r="H475" i="3"/>
  <c r="W474" i="3"/>
  <c r="X474" i="3"/>
  <c r="Y474" i="3"/>
  <c r="H476" i="3"/>
  <c r="W475" i="3"/>
  <c r="X475" i="3"/>
  <c r="Y475" i="3"/>
  <c r="H477" i="3"/>
  <c r="W476" i="3"/>
  <c r="X476" i="3"/>
  <c r="Y476" i="3"/>
  <c r="H478" i="3"/>
  <c r="W477" i="3"/>
  <c r="X477" i="3"/>
  <c r="Y477" i="3"/>
  <c r="H479" i="3"/>
  <c r="W478" i="3"/>
  <c r="X478" i="3"/>
  <c r="Y478" i="3"/>
  <c r="H480" i="3"/>
  <c r="W479" i="3"/>
  <c r="X479" i="3"/>
  <c r="Y479" i="3"/>
  <c r="H481" i="3"/>
  <c r="W480" i="3"/>
  <c r="X480" i="3"/>
  <c r="Y480" i="3"/>
  <c r="H482" i="3"/>
  <c r="W481" i="3"/>
  <c r="X481" i="3"/>
  <c r="Y481" i="3"/>
  <c r="H483" i="3"/>
  <c r="W482" i="3"/>
  <c r="X482" i="3"/>
  <c r="Y482" i="3"/>
  <c r="H484" i="3"/>
  <c r="W483" i="3"/>
  <c r="X483" i="3"/>
  <c r="Y483" i="3"/>
  <c r="H485" i="3"/>
  <c r="W484" i="3"/>
  <c r="X484" i="3"/>
  <c r="Y484" i="3"/>
  <c r="H486" i="3"/>
  <c r="W485" i="3"/>
  <c r="X485" i="3"/>
  <c r="Y485" i="3"/>
  <c r="H487" i="3"/>
  <c r="W486" i="3"/>
  <c r="X486" i="3"/>
  <c r="Y486" i="3"/>
  <c r="H488" i="3"/>
  <c r="W487" i="3"/>
  <c r="X487" i="3"/>
  <c r="Y487" i="3"/>
  <c r="H489" i="3"/>
  <c r="W488" i="3"/>
  <c r="X488" i="3"/>
  <c r="Y488" i="3"/>
  <c r="H490" i="3"/>
  <c r="W489" i="3"/>
  <c r="X489" i="3"/>
  <c r="Y489" i="3"/>
  <c r="H491" i="3"/>
  <c r="W490" i="3"/>
  <c r="X490" i="3"/>
  <c r="Y490" i="3"/>
  <c r="H492" i="3"/>
  <c r="W491" i="3"/>
  <c r="X491" i="3"/>
  <c r="Y491" i="3"/>
  <c r="H493" i="3"/>
  <c r="W492" i="3"/>
  <c r="X492" i="3"/>
  <c r="Y492" i="3"/>
  <c r="H494" i="3"/>
  <c r="W493" i="3"/>
  <c r="X493" i="3"/>
  <c r="Y493" i="3"/>
  <c r="H495" i="3"/>
  <c r="W494" i="3"/>
  <c r="X494" i="3"/>
  <c r="Y494" i="3"/>
  <c r="H496" i="3"/>
  <c r="W495" i="3"/>
  <c r="X495" i="3"/>
  <c r="Y495" i="3"/>
  <c r="H497" i="3"/>
  <c r="W496" i="3"/>
  <c r="X496" i="3"/>
  <c r="Y496" i="3"/>
  <c r="H498" i="3"/>
  <c r="W497" i="3"/>
  <c r="X497" i="3"/>
  <c r="Y497" i="3"/>
  <c r="H499" i="3"/>
  <c r="W498" i="3"/>
  <c r="X498" i="3"/>
  <c r="Y498" i="3"/>
  <c r="H500" i="3"/>
  <c r="W499" i="3"/>
  <c r="X499" i="3"/>
  <c r="Y499" i="3"/>
  <c r="H501" i="3"/>
  <c r="W500" i="3"/>
  <c r="X500" i="3"/>
  <c r="Y500" i="3"/>
  <c r="H502" i="3"/>
  <c r="W501" i="3"/>
  <c r="X501" i="3"/>
  <c r="Y501" i="3"/>
  <c r="H503" i="3"/>
  <c r="W502" i="3"/>
  <c r="X502" i="3"/>
  <c r="Y502" i="3"/>
  <c r="H504" i="3"/>
  <c r="W503" i="3"/>
  <c r="X503" i="3"/>
  <c r="Y503" i="3"/>
  <c r="H505" i="3"/>
  <c r="W504" i="3"/>
  <c r="X504" i="3"/>
  <c r="Y504" i="3"/>
  <c r="H506" i="3"/>
  <c r="W505" i="3"/>
  <c r="X505" i="3"/>
  <c r="Y505" i="3"/>
  <c r="H507" i="3"/>
  <c r="W506" i="3"/>
  <c r="X506" i="3"/>
  <c r="Y506" i="3"/>
  <c r="H508" i="3"/>
  <c r="W507" i="3"/>
  <c r="X507" i="3"/>
  <c r="Y507" i="3"/>
  <c r="H509" i="3"/>
  <c r="W508" i="3"/>
  <c r="X508" i="3"/>
  <c r="Y508" i="3"/>
  <c r="H510" i="3"/>
  <c r="W509" i="3"/>
  <c r="X509" i="3"/>
  <c r="Y509" i="3"/>
  <c r="H511" i="3"/>
  <c r="W510" i="3"/>
  <c r="X510" i="3"/>
  <c r="Y510" i="3"/>
  <c r="H512" i="3"/>
  <c r="W511" i="3"/>
  <c r="X511" i="3"/>
  <c r="Y511" i="3"/>
  <c r="H513" i="3"/>
  <c r="W512" i="3"/>
  <c r="X512" i="3"/>
  <c r="Y512" i="3"/>
  <c r="H514" i="3"/>
  <c r="W513" i="3"/>
  <c r="X513" i="3"/>
  <c r="Y513" i="3"/>
  <c r="H515" i="3"/>
  <c r="W514" i="3"/>
  <c r="X514" i="3"/>
  <c r="Y514" i="3"/>
  <c r="H516" i="3"/>
  <c r="W515" i="3"/>
  <c r="X515" i="3"/>
  <c r="Y515" i="3"/>
  <c r="H517" i="3"/>
  <c r="W516" i="3"/>
  <c r="X516" i="3"/>
  <c r="Y516" i="3"/>
  <c r="H518" i="3"/>
  <c r="W517" i="3"/>
  <c r="X517" i="3"/>
  <c r="Y517" i="3"/>
  <c r="H519" i="3"/>
  <c r="W518" i="3"/>
  <c r="X518" i="3"/>
  <c r="Y518" i="3"/>
  <c r="H520" i="3"/>
  <c r="W519" i="3"/>
  <c r="X519" i="3"/>
  <c r="Y519" i="3"/>
  <c r="H521" i="3"/>
  <c r="W520" i="3"/>
  <c r="X520" i="3"/>
  <c r="Y520" i="3"/>
  <c r="H522" i="3"/>
  <c r="W521" i="3"/>
  <c r="X521" i="3"/>
  <c r="Y521" i="3"/>
  <c r="H523" i="3"/>
  <c r="W522" i="3"/>
  <c r="X522" i="3"/>
  <c r="Y522" i="3"/>
  <c r="H524" i="3"/>
  <c r="W523" i="3"/>
  <c r="X523" i="3"/>
  <c r="Y523" i="3"/>
  <c r="H525" i="3"/>
  <c r="W524" i="3"/>
  <c r="X524" i="3"/>
  <c r="Y524" i="3"/>
  <c r="H526" i="3"/>
  <c r="W525" i="3"/>
  <c r="X525" i="3"/>
  <c r="Y525" i="3"/>
  <c r="H527" i="3"/>
  <c r="W526" i="3"/>
  <c r="X526" i="3"/>
  <c r="Y526" i="3"/>
  <c r="H528" i="3"/>
  <c r="W527" i="3"/>
  <c r="X527" i="3"/>
  <c r="Y527" i="3"/>
  <c r="H529" i="3"/>
  <c r="W528" i="3"/>
  <c r="X528" i="3"/>
  <c r="Y528" i="3"/>
  <c r="H530" i="3"/>
  <c r="W529" i="3"/>
  <c r="X529" i="3"/>
  <c r="Y529" i="3"/>
  <c r="H531" i="3"/>
  <c r="W530" i="3"/>
  <c r="X530" i="3"/>
  <c r="Y530" i="3"/>
  <c r="H532" i="3"/>
  <c r="W531" i="3"/>
  <c r="X531" i="3"/>
  <c r="Y531" i="3"/>
  <c r="H533" i="3"/>
  <c r="W532" i="3"/>
  <c r="X532" i="3"/>
  <c r="Y532" i="3"/>
  <c r="H534" i="3"/>
  <c r="W533" i="3"/>
  <c r="X533" i="3"/>
  <c r="Y533" i="3"/>
  <c r="H535" i="3"/>
  <c r="W534" i="3"/>
  <c r="X534" i="3"/>
  <c r="Y534" i="3"/>
  <c r="H536" i="3"/>
  <c r="W535" i="3"/>
  <c r="X535" i="3"/>
  <c r="Y535" i="3"/>
  <c r="H537" i="3"/>
  <c r="W536" i="3"/>
  <c r="X536" i="3"/>
  <c r="Y536" i="3"/>
  <c r="H538" i="3"/>
  <c r="W537" i="3"/>
  <c r="X537" i="3"/>
  <c r="Y537" i="3"/>
  <c r="H539" i="3"/>
  <c r="W538" i="3"/>
  <c r="X538" i="3"/>
  <c r="Y538" i="3"/>
  <c r="H540" i="3"/>
  <c r="W539" i="3"/>
  <c r="X539" i="3"/>
  <c r="Y539" i="3"/>
  <c r="H541" i="3"/>
  <c r="W540" i="3"/>
  <c r="X540" i="3"/>
  <c r="Y540" i="3"/>
  <c r="H542" i="3"/>
  <c r="W541" i="3"/>
  <c r="X541" i="3"/>
  <c r="Y541" i="3"/>
  <c r="H543" i="3"/>
  <c r="W542" i="3"/>
  <c r="X542" i="3"/>
  <c r="Y542" i="3"/>
  <c r="H544" i="3"/>
  <c r="W543" i="3"/>
  <c r="X543" i="3"/>
  <c r="Y543" i="3"/>
  <c r="H545" i="3"/>
  <c r="W544" i="3"/>
  <c r="X544" i="3"/>
  <c r="Y544" i="3"/>
  <c r="H546" i="3"/>
  <c r="W545" i="3"/>
  <c r="X545" i="3"/>
  <c r="Y545" i="3"/>
  <c r="H547" i="3"/>
  <c r="W546" i="3"/>
  <c r="X546" i="3"/>
  <c r="Y546" i="3"/>
  <c r="H548" i="3"/>
  <c r="W547" i="3"/>
  <c r="X547" i="3"/>
  <c r="Y547" i="3"/>
  <c r="H549" i="3"/>
  <c r="W548" i="3"/>
  <c r="X548" i="3"/>
  <c r="Y548" i="3"/>
  <c r="H550" i="3"/>
  <c r="W549" i="3"/>
  <c r="X549" i="3"/>
  <c r="Y549" i="3"/>
  <c r="H551" i="3"/>
  <c r="W550" i="3"/>
  <c r="X550" i="3"/>
  <c r="Y550" i="3"/>
  <c r="H552" i="3"/>
  <c r="W551" i="3"/>
  <c r="X551" i="3"/>
  <c r="Y551" i="3"/>
  <c r="H553" i="3"/>
  <c r="W552" i="3"/>
  <c r="X552" i="3"/>
  <c r="Y552" i="3"/>
  <c r="H554" i="3"/>
  <c r="W553" i="3"/>
  <c r="X553" i="3"/>
  <c r="Y553" i="3"/>
  <c r="H555" i="3"/>
  <c r="W554" i="3"/>
  <c r="X554" i="3"/>
  <c r="Y554" i="3"/>
  <c r="H556" i="3"/>
  <c r="W555" i="3"/>
  <c r="X555" i="3"/>
  <c r="Y555" i="3"/>
  <c r="H557" i="3"/>
  <c r="W556" i="3"/>
  <c r="X556" i="3"/>
  <c r="Y556" i="3"/>
  <c r="H558" i="3"/>
  <c r="W557" i="3"/>
  <c r="X557" i="3"/>
  <c r="Y557" i="3"/>
  <c r="H559" i="3"/>
  <c r="W558" i="3"/>
  <c r="X558" i="3"/>
  <c r="Y558" i="3"/>
  <c r="H560" i="3"/>
  <c r="W559" i="3"/>
  <c r="X559" i="3"/>
  <c r="Y559" i="3"/>
  <c r="H561" i="3"/>
  <c r="W560" i="3"/>
  <c r="X560" i="3"/>
  <c r="Y560" i="3"/>
  <c r="H562" i="3"/>
  <c r="W561" i="3"/>
  <c r="X561" i="3"/>
  <c r="Y561" i="3"/>
  <c r="H563" i="3"/>
  <c r="W562" i="3"/>
  <c r="X562" i="3"/>
  <c r="Y562" i="3"/>
  <c r="H564" i="3"/>
  <c r="W563" i="3"/>
  <c r="X563" i="3"/>
  <c r="Y563" i="3"/>
  <c r="H565" i="3"/>
  <c r="W564" i="3"/>
  <c r="X564" i="3"/>
  <c r="Y564" i="3"/>
  <c r="H566" i="3"/>
  <c r="W565" i="3"/>
  <c r="X565" i="3"/>
  <c r="Y565" i="3"/>
  <c r="H567" i="3"/>
  <c r="W566" i="3"/>
  <c r="X566" i="3"/>
  <c r="Y566" i="3"/>
  <c r="H568" i="3"/>
  <c r="W567" i="3"/>
  <c r="X567" i="3"/>
  <c r="Y567" i="3"/>
  <c r="H569" i="3"/>
  <c r="W568" i="3"/>
  <c r="X568" i="3"/>
  <c r="Y568" i="3"/>
  <c r="H570" i="3"/>
  <c r="W569" i="3"/>
  <c r="X569" i="3"/>
  <c r="Y569" i="3"/>
  <c r="H571" i="3"/>
  <c r="W570" i="3"/>
  <c r="X570" i="3"/>
  <c r="Y570" i="3"/>
  <c r="H572" i="3"/>
  <c r="W571" i="3"/>
  <c r="X571" i="3"/>
  <c r="Y571" i="3"/>
  <c r="H573" i="3"/>
  <c r="W572" i="3"/>
  <c r="X572" i="3"/>
  <c r="Y572" i="3"/>
  <c r="H574" i="3"/>
  <c r="W573" i="3"/>
  <c r="X573" i="3"/>
  <c r="Y573" i="3"/>
  <c r="H575" i="3"/>
  <c r="W574" i="3"/>
  <c r="X574" i="3"/>
  <c r="Y574" i="3"/>
  <c r="H576" i="3"/>
  <c r="W575" i="3"/>
  <c r="X575" i="3"/>
  <c r="Y575" i="3"/>
  <c r="H577" i="3"/>
  <c r="W576" i="3"/>
  <c r="X576" i="3"/>
  <c r="Y576" i="3"/>
  <c r="H578" i="3"/>
  <c r="W577" i="3"/>
  <c r="X577" i="3"/>
  <c r="Y577" i="3"/>
  <c r="H579" i="3"/>
  <c r="W578" i="3"/>
  <c r="X578" i="3"/>
  <c r="Y578" i="3"/>
  <c r="H580" i="3"/>
  <c r="W579" i="3"/>
  <c r="X579" i="3"/>
  <c r="Y579" i="3"/>
  <c r="H581" i="3"/>
  <c r="W580" i="3"/>
  <c r="X580" i="3"/>
  <c r="Y580" i="3"/>
  <c r="H582" i="3"/>
  <c r="W581" i="3"/>
  <c r="X581" i="3"/>
  <c r="Y581" i="3"/>
  <c r="H583" i="3"/>
  <c r="W582" i="3"/>
  <c r="X582" i="3"/>
  <c r="Y582" i="3"/>
  <c r="H584" i="3"/>
  <c r="W583" i="3"/>
  <c r="X583" i="3"/>
  <c r="Y583" i="3"/>
  <c r="H585" i="3"/>
  <c r="W584" i="3"/>
  <c r="X584" i="3"/>
  <c r="Y584" i="3"/>
  <c r="H586" i="3"/>
  <c r="W585" i="3"/>
  <c r="X585" i="3"/>
  <c r="Y585" i="3"/>
  <c r="H587" i="3"/>
  <c r="W586" i="3"/>
  <c r="X586" i="3"/>
  <c r="Y586" i="3"/>
  <c r="H588" i="3"/>
  <c r="W587" i="3"/>
  <c r="X587" i="3"/>
  <c r="Y587" i="3"/>
  <c r="H589" i="3"/>
  <c r="W588" i="3"/>
  <c r="X588" i="3"/>
  <c r="Y588" i="3"/>
  <c r="H590" i="3"/>
  <c r="W589" i="3"/>
  <c r="X589" i="3"/>
  <c r="Y589" i="3"/>
  <c r="H591" i="3"/>
  <c r="W590" i="3"/>
  <c r="X590" i="3"/>
  <c r="Y590" i="3"/>
  <c r="H592" i="3"/>
  <c r="W591" i="3"/>
  <c r="X591" i="3"/>
  <c r="Y591" i="3"/>
  <c r="H593" i="3"/>
  <c r="W592" i="3"/>
  <c r="X592" i="3"/>
  <c r="Y592" i="3"/>
  <c r="H594" i="3"/>
  <c r="W593" i="3"/>
  <c r="X593" i="3"/>
  <c r="Y593" i="3"/>
  <c r="H595" i="3"/>
  <c r="W594" i="3"/>
  <c r="X594" i="3"/>
  <c r="Y594" i="3"/>
  <c r="H596" i="3"/>
  <c r="W595" i="3"/>
  <c r="X595" i="3"/>
  <c r="Y595" i="3"/>
  <c r="H597" i="3"/>
  <c r="W596" i="3"/>
  <c r="X596" i="3"/>
  <c r="Y596" i="3"/>
  <c r="H598" i="3"/>
  <c r="W597" i="3"/>
  <c r="X597" i="3"/>
  <c r="Y597" i="3"/>
  <c r="H599" i="3"/>
  <c r="W598" i="3"/>
  <c r="X598" i="3"/>
  <c r="Y598" i="3"/>
  <c r="H600" i="3"/>
  <c r="W599" i="3"/>
  <c r="X599" i="3"/>
  <c r="Y599" i="3"/>
  <c r="H601" i="3"/>
  <c r="W600" i="3"/>
  <c r="X600" i="3"/>
  <c r="Y600" i="3"/>
  <c r="H602" i="3"/>
  <c r="W601" i="3"/>
  <c r="X601" i="3"/>
  <c r="Y601" i="3"/>
  <c r="H603" i="3"/>
  <c r="W602" i="3"/>
  <c r="X602" i="3"/>
  <c r="Y602" i="3"/>
  <c r="H604" i="3"/>
  <c r="W603" i="3"/>
  <c r="X603" i="3"/>
  <c r="Y603" i="3"/>
  <c r="H605" i="3"/>
  <c r="W604" i="3"/>
  <c r="X604" i="3"/>
  <c r="Y604" i="3"/>
  <c r="H606" i="3"/>
  <c r="W605" i="3"/>
  <c r="X605" i="3"/>
  <c r="Y605" i="3"/>
  <c r="H607" i="3"/>
  <c r="W606" i="3"/>
  <c r="X606" i="3"/>
  <c r="Y606" i="3"/>
  <c r="H608" i="3"/>
  <c r="W607" i="3"/>
  <c r="X607" i="3"/>
  <c r="Y607" i="3"/>
  <c r="H609" i="3"/>
  <c r="W608" i="3"/>
  <c r="X608" i="3"/>
  <c r="Y608" i="3"/>
  <c r="H610" i="3"/>
  <c r="W609" i="3"/>
  <c r="X609" i="3"/>
  <c r="Y609" i="3"/>
  <c r="H611" i="3"/>
  <c r="W610" i="3"/>
  <c r="X610" i="3"/>
  <c r="Y610" i="3"/>
  <c r="H612" i="3"/>
  <c r="W611" i="3"/>
  <c r="X611" i="3"/>
  <c r="Y611" i="3"/>
  <c r="H613" i="3"/>
  <c r="W612" i="3"/>
  <c r="X612" i="3"/>
  <c r="Y612" i="3"/>
  <c r="H614" i="3"/>
  <c r="W613" i="3"/>
  <c r="X613" i="3"/>
  <c r="Y613" i="3"/>
  <c r="H615" i="3"/>
  <c r="W614" i="3"/>
  <c r="X614" i="3"/>
  <c r="Y614" i="3"/>
  <c r="H616" i="3"/>
  <c r="W615" i="3"/>
  <c r="X615" i="3"/>
  <c r="Y615" i="3"/>
  <c r="H617" i="3"/>
  <c r="W616" i="3"/>
  <c r="X616" i="3"/>
  <c r="Y616" i="3"/>
  <c r="H618" i="3"/>
  <c r="W617" i="3"/>
  <c r="X617" i="3"/>
  <c r="Y617" i="3"/>
  <c r="H619" i="3"/>
  <c r="W618" i="3"/>
  <c r="X618" i="3"/>
  <c r="Y618" i="3"/>
  <c r="H620" i="3"/>
  <c r="W619" i="3"/>
  <c r="X619" i="3"/>
  <c r="Y619" i="3"/>
  <c r="H621" i="3"/>
  <c r="W620" i="3"/>
  <c r="X620" i="3"/>
  <c r="Y620" i="3"/>
  <c r="H622" i="3"/>
  <c r="W621" i="3"/>
  <c r="X621" i="3"/>
  <c r="Y621" i="3"/>
  <c r="H623" i="3"/>
  <c r="W622" i="3"/>
  <c r="X622" i="3"/>
  <c r="Y622" i="3"/>
  <c r="H624" i="3"/>
  <c r="W623" i="3"/>
  <c r="X623" i="3"/>
  <c r="Y623" i="3"/>
  <c r="H625" i="3"/>
  <c r="W624" i="3"/>
  <c r="X624" i="3"/>
  <c r="Y624" i="3"/>
  <c r="H626" i="3"/>
  <c r="W625" i="3"/>
  <c r="X625" i="3"/>
  <c r="Y625" i="3"/>
  <c r="H627" i="3"/>
  <c r="W626" i="3"/>
  <c r="X626" i="3"/>
  <c r="Y626" i="3"/>
  <c r="H628" i="3"/>
  <c r="W627" i="3"/>
  <c r="X627" i="3"/>
  <c r="Y627" i="3"/>
  <c r="H629" i="3"/>
  <c r="W628" i="3"/>
  <c r="X628" i="3"/>
  <c r="Y628" i="3"/>
  <c r="H630" i="3"/>
  <c r="W629" i="3"/>
  <c r="X629" i="3"/>
  <c r="Y629" i="3"/>
  <c r="H631" i="3"/>
  <c r="W630" i="3"/>
  <c r="X630" i="3"/>
  <c r="Y630" i="3"/>
  <c r="H632" i="3"/>
  <c r="W631" i="3"/>
  <c r="X631" i="3"/>
  <c r="Y631" i="3"/>
  <c r="H633" i="3"/>
  <c r="W632" i="3"/>
  <c r="X632" i="3"/>
  <c r="Y632" i="3"/>
  <c r="H634" i="3"/>
  <c r="W633" i="3"/>
  <c r="X633" i="3"/>
  <c r="Y633" i="3"/>
  <c r="H635" i="3"/>
  <c r="W634" i="3"/>
  <c r="X634" i="3"/>
  <c r="Y634" i="3"/>
  <c r="H636" i="3"/>
  <c r="W635" i="3"/>
  <c r="X635" i="3"/>
  <c r="Y635" i="3"/>
  <c r="H637" i="3"/>
  <c r="W636" i="3"/>
  <c r="X636" i="3"/>
  <c r="Y636" i="3"/>
  <c r="H638" i="3"/>
  <c r="W637" i="3"/>
  <c r="X637" i="3"/>
  <c r="Y637" i="3"/>
  <c r="H639" i="3"/>
  <c r="W638" i="3"/>
  <c r="X638" i="3"/>
  <c r="Y638" i="3"/>
  <c r="H640" i="3"/>
  <c r="W639" i="3"/>
  <c r="X639" i="3"/>
  <c r="Y639" i="3"/>
  <c r="H641" i="3"/>
  <c r="W640" i="3"/>
  <c r="X640" i="3"/>
  <c r="Y640" i="3"/>
  <c r="H642" i="3"/>
  <c r="W641" i="3"/>
  <c r="X641" i="3"/>
  <c r="Y641" i="3"/>
  <c r="H643" i="3"/>
  <c r="W642" i="3"/>
  <c r="X642" i="3"/>
  <c r="Y642" i="3"/>
  <c r="H644" i="3"/>
  <c r="W643" i="3"/>
  <c r="X643" i="3"/>
  <c r="Y643" i="3"/>
  <c r="H645" i="3"/>
  <c r="W644" i="3"/>
  <c r="X644" i="3"/>
  <c r="Y644" i="3"/>
  <c r="H646" i="3"/>
  <c r="W645" i="3"/>
  <c r="X645" i="3"/>
  <c r="Y645" i="3"/>
  <c r="H647" i="3"/>
  <c r="W646" i="3"/>
  <c r="X646" i="3"/>
  <c r="Y646" i="3"/>
  <c r="H648" i="3"/>
  <c r="W647" i="3"/>
  <c r="X647" i="3"/>
  <c r="Y647" i="3"/>
  <c r="H649" i="3"/>
  <c r="W648" i="3"/>
  <c r="X648" i="3"/>
  <c r="Y648" i="3"/>
  <c r="H650" i="3"/>
  <c r="W649" i="3"/>
  <c r="X649" i="3"/>
  <c r="Y649" i="3"/>
  <c r="H651" i="3"/>
  <c r="W650" i="3"/>
  <c r="X650" i="3"/>
  <c r="Y650" i="3"/>
  <c r="H652" i="3"/>
  <c r="W651" i="3"/>
  <c r="X651" i="3"/>
  <c r="Y651" i="3"/>
  <c r="H653" i="3"/>
  <c r="W652" i="3"/>
  <c r="X652" i="3"/>
  <c r="Y652" i="3"/>
  <c r="H654" i="3"/>
  <c r="W653" i="3"/>
  <c r="X653" i="3"/>
  <c r="Y653" i="3"/>
  <c r="H655" i="3"/>
  <c r="W654" i="3"/>
  <c r="X654" i="3"/>
  <c r="Y654" i="3"/>
  <c r="H656" i="3"/>
  <c r="W655" i="3"/>
  <c r="X655" i="3"/>
  <c r="Y655" i="3"/>
  <c r="H657" i="3"/>
  <c r="W656" i="3"/>
  <c r="X656" i="3"/>
  <c r="Y656" i="3"/>
  <c r="H658" i="3"/>
  <c r="W657" i="3"/>
  <c r="X657" i="3"/>
  <c r="Y657" i="3"/>
  <c r="H659" i="3"/>
  <c r="W658" i="3"/>
  <c r="X658" i="3"/>
  <c r="Y658" i="3"/>
  <c r="H660" i="3"/>
  <c r="W659" i="3"/>
  <c r="X659" i="3"/>
  <c r="Y659" i="3"/>
  <c r="H661" i="3"/>
  <c r="W660" i="3"/>
  <c r="X660" i="3"/>
  <c r="Y660" i="3"/>
  <c r="H662" i="3"/>
  <c r="W661" i="3"/>
  <c r="X661" i="3"/>
  <c r="Y661" i="3"/>
  <c r="H663" i="3"/>
  <c r="W662" i="3"/>
  <c r="X662" i="3"/>
  <c r="Y662" i="3"/>
  <c r="H664" i="3"/>
  <c r="W663" i="3"/>
  <c r="X663" i="3"/>
  <c r="Y663" i="3"/>
  <c r="H665" i="3"/>
  <c r="W664" i="3"/>
  <c r="X664" i="3"/>
  <c r="Y664" i="3"/>
  <c r="H666" i="3"/>
  <c r="W665" i="3"/>
  <c r="X665" i="3"/>
  <c r="Y665" i="3"/>
  <c r="H667" i="3"/>
  <c r="W666" i="3"/>
  <c r="X666" i="3"/>
  <c r="Y666" i="3"/>
  <c r="H668" i="3"/>
  <c r="W667" i="3"/>
  <c r="X667" i="3"/>
  <c r="Y667" i="3"/>
  <c r="H669" i="3"/>
  <c r="W668" i="3"/>
  <c r="X668" i="3"/>
  <c r="Y668" i="3"/>
  <c r="H670" i="3"/>
  <c r="W669" i="3"/>
  <c r="X669" i="3"/>
  <c r="Y669" i="3"/>
  <c r="H671" i="3"/>
  <c r="W670" i="3"/>
  <c r="X670" i="3"/>
  <c r="Y670" i="3"/>
  <c r="H672" i="3"/>
  <c r="W671" i="3"/>
  <c r="X671" i="3"/>
  <c r="Y671" i="3"/>
  <c r="H673" i="3"/>
  <c r="W672" i="3"/>
  <c r="X672" i="3"/>
  <c r="Y672" i="3"/>
  <c r="H674" i="3"/>
  <c r="W673" i="3"/>
  <c r="X673" i="3"/>
  <c r="Y673" i="3"/>
  <c r="H675" i="3"/>
  <c r="W674" i="3"/>
  <c r="X674" i="3"/>
  <c r="Y674" i="3"/>
  <c r="H676" i="3"/>
  <c r="W675" i="3"/>
  <c r="X675" i="3"/>
  <c r="Y675" i="3"/>
  <c r="H677" i="3"/>
  <c r="W676" i="3"/>
  <c r="X676" i="3"/>
  <c r="Y676" i="3"/>
  <c r="H678" i="3"/>
  <c r="W677" i="3"/>
  <c r="X677" i="3"/>
  <c r="Y677" i="3"/>
  <c r="H679" i="3"/>
  <c r="W678" i="3"/>
  <c r="X678" i="3"/>
  <c r="Y678" i="3"/>
  <c r="H680" i="3"/>
  <c r="W679" i="3"/>
  <c r="X679" i="3"/>
  <c r="Y679" i="3"/>
  <c r="H681" i="3"/>
  <c r="W680" i="3"/>
  <c r="X680" i="3"/>
  <c r="Y680" i="3"/>
  <c r="H682" i="3"/>
  <c r="W681" i="3"/>
  <c r="X681" i="3"/>
  <c r="Y681" i="3"/>
  <c r="H683" i="3"/>
  <c r="W682" i="3"/>
  <c r="X682" i="3"/>
  <c r="Y682" i="3"/>
  <c r="H684" i="3"/>
  <c r="W683" i="3"/>
  <c r="X683" i="3"/>
  <c r="Y683" i="3"/>
  <c r="H685" i="3"/>
  <c r="W684" i="3"/>
  <c r="X684" i="3"/>
  <c r="Y684" i="3"/>
  <c r="H686" i="3"/>
  <c r="W685" i="3"/>
  <c r="X685" i="3"/>
  <c r="Y685" i="3"/>
  <c r="H687" i="3"/>
  <c r="W686" i="3"/>
  <c r="X686" i="3"/>
  <c r="Y686" i="3"/>
  <c r="H688" i="3"/>
  <c r="W687" i="3"/>
  <c r="X687" i="3"/>
  <c r="Y687" i="3"/>
  <c r="H689" i="3"/>
  <c r="W688" i="3"/>
  <c r="X688" i="3"/>
  <c r="Y688" i="3"/>
  <c r="H690" i="3"/>
  <c r="W689" i="3"/>
  <c r="X689" i="3"/>
  <c r="Y689" i="3"/>
  <c r="H691" i="3"/>
  <c r="W690" i="3"/>
  <c r="X690" i="3"/>
  <c r="Y690" i="3"/>
  <c r="H692" i="3"/>
  <c r="W691" i="3"/>
  <c r="X691" i="3"/>
  <c r="Y691" i="3"/>
  <c r="H693" i="3"/>
  <c r="W692" i="3"/>
  <c r="X692" i="3"/>
  <c r="Y692" i="3"/>
  <c r="H694" i="3"/>
  <c r="W693" i="3"/>
  <c r="X693" i="3"/>
  <c r="Y693" i="3"/>
  <c r="H695" i="3"/>
  <c r="W694" i="3"/>
  <c r="X694" i="3"/>
  <c r="Y694" i="3"/>
  <c r="H696" i="3"/>
  <c r="W695" i="3"/>
  <c r="X695" i="3"/>
  <c r="Y695" i="3"/>
  <c r="H697" i="3"/>
  <c r="W696" i="3"/>
  <c r="X696" i="3"/>
  <c r="Y696" i="3"/>
  <c r="H698" i="3"/>
  <c r="W697" i="3"/>
  <c r="X697" i="3"/>
  <c r="Y697" i="3"/>
  <c r="H699" i="3"/>
  <c r="W698" i="3"/>
  <c r="X698" i="3"/>
  <c r="Y698" i="3"/>
  <c r="H700" i="3"/>
  <c r="W699" i="3"/>
  <c r="X699" i="3"/>
  <c r="Y699" i="3"/>
  <c r="H701" i="3"/>
  <c r="W700" i="3"/>
  <c r="X700" i="3"/>
  <c r="Y700" i="3"/>
  <c r="H702" i="3"/>
  <c r="W701" i="3"/>
  <c r="X701" i="3"/>
  <c r="Y701" i="3"/>
  <c r="H703" i="3"/>
  <c r="W702" i="3"/>
  <c r="X702" i="3"/>
  <c r="Y702" i="3"/>
  <c r="H704" i="3"/>
  <c r="W703" i="3"/>
  <c r="X703" i="3"/>
  <c r="Y703" i="3"/>
  <c r="H705" i="3"/>
  <c r="W704" i="3"/>
  <c r="X704" i="3"/>
  <c r="Y704" i="3"/>
  <c r="H706" i="3"/>
  <c r="W705" i="3"/>
  <c r="X705" i="3"/>
  <c r="Y705" i="3"/>
  <c r="H707" i="3"/>
  <c r="W706" i="3"/>
  <c r="X706" i="3"/>
  <c r="Y706" i="3"/>
  <c r="H708" i="3"/>
  <c r="W707" i="3"/>
  <c r="X707" i="3"/>
  <c r="Y707" i="3"/>
  <c r="H709" i="3"/>
  <c r="W708" i="3"/>
  <c r="X708" i="3"/>
  <c r="Y708" i="3"/>
  <c r="H710" i="3"/>
  <c r="W709" i="3"/>
  <c r="X709" i="3"/>
  <c r="Y709" i="3"/>
  <c r="H711" i="3"/>
  <c r="W710" i="3"/>
  <c r="X710" i="3"/>
  <c r="Y710" i="3"/>
  <c r="H712" i="3"/>
  <c r="W711" i="3"/>
  <c r="X711" i="3"/>
  <c r="Y711" i="3"/>
  <c r="H713" i="3"/>
  <c r="W712" i="3"/>
  <c r="X712" i="3"/>
  <c r="Y712" i="3"/>
  <c r="H714" i="3"/>
  <c r="W713" i="3"/>
  <c r="X713" i="3"/>
  <c r="Y713" i="3"/>
  <c r="H715" i="3"/>
  <c r="W714" i="3"/>
  <c r="X714" i="3"/>
  <c r="Y714" i="3"/>
  <c r="H716" i="3"/>
  <c r="W715" i="3"/>
  <c r="X715" i="3"/>
  <c r="Y715" i="3"/>
  <c r="H717" i="3"/>
  <c r="W716" i="3"/>
  <c r="X716" i="3"/>
  <c r="Y716" i="3"/>
  <c r="H718" i="3"/>
  <c r="W717" i="3"/>
  <c r="X717" i="3"/>
  <c r="Y717" i="3"/>
  <c r="H719" i="3"/>
  <c r="W718" i="3"/>
  <c r="X718" i="3"/>
  <c r="Y718" i="3"/>
  <c r="H720" i="3"/>
  <c r="W719" i="3"/>
  <c r="X719" i="3"/>
  <c r="Y719" i="3"/>
  <c r="H721" i="3"/>
  <c r="W720" i="3"/>
  <c r="X720" i="3"/>
  <c r="Y720" i="3"/>
  <c r="H722" i="3"/>
  <c r="W721" i="3"/>
  <c r="X721" i="3"/>
  <c r="Y721" i="3"/>
  <c r="H723" i="3"/>
  <c r="W722" i="3"/>
  <c r="X722" i="3"/>
  <c r="Y722" i="3"/>
  <c r="H724" i="3"/>
  <c r="W723" i="3"/>
  <c r="X723" i="3"/>
  <c r="Y723" i="3"/>
  <c r="H725" i="3"/>
  <c r="W724" i="3"/>
  <c r="X724" i="3"/>
  <c r="Y724" i="3"/>
  <c r="H726" i="3"/>
  <c r="W725" i="3"/>
  <c r="X725" i="3"/>
  <c r="Y725" i="3"/>
  <c r="H727" i="3"/>
  <c r="W726" i="3"/>
  <c r="X726" i="3"/>
  <c r="Y726" i="3"/>
  <c r="H728" i="3"/>
  <c r="W727" i="3"/>
  <c r="X727" i="3"/>
  <c r="Y727" i="3"/>
  <c r="H729" i="3"/>
  <c r="W728" i="3"/>
  <c r="X728" i="3"/>
  <c r="Y728" i="3"/>
  <c r="H730" i="3"/>
  <c r="W729" i="3"/>
  <c r="X729" i="3"/>
  <c r="Y729" i="3"/>
  <c r="H731" i="3"/>
  <c r="W730" i="3"/>
  <c r="X730" i="3"/>
  <c r="Y730" i="3"/>
  <c r="H732" i="3"/>
  <c r="W731" i="3"/>
  <c r="X731" i="3"/>
  <c r="Y731" i="3"/>
  <c r="H733" i="3"/>
  <c r="W732" i="3"/>
  <c r="X732" i="3"/>
  <c r="Y732" i="3"/>
  <c r="H734" i="3"/>
  <c r="W733" i="3"/>
  <c r="X733" i="3"/>
  <c r="Y733" i="3"/>
  <c r="H735" i="3"/>
  <c r="W734" i="3"/>
  <c r="X734" i="3"/>
  <c r="Y734" i="3"/>
  <c r="H736" i="3"/>
  <c r="W735" i="3"/>
  <c r="X735" i="3"/>
  <c r="Y735" i="3"/>
  <c r="H737" i="3"/>
  <c r="W736" i="3"/>
  <c r="X736" i="3"/>
  <c r="Y736" i="3"/>
  <c r="H738" i="3"/>
  <c r="W737" i="3"/>
  <c r="X737" i="3"/>
  <c r="Y737" i="3"/>
  <c r="H739" i="3"/>
  <c r="W738" i="3"/>
  <c r="X738" i="3"/>
  <c r="Y738" i="3"/>
  <c r="H740" i="3"/>
  <c r="W739" i="3"/>
  <c r="X739" i="3"/>
  <c r="Y739" i="3"/>
  <c r="H741" i="3"/>
  <c r="W740" i="3"/>
  <c r="X740" i="3"/>
  <c r="Y740" i="3"/>
  <c r="H742" i="3"/>
  <c r="W741" i="3"/>
  <c r="X741" i="3"/>
  <c r="Y741" i="3"/>
  <c r="H743" i="3"/>
  <c r="W742" i="3"/>
  <c r="X742" i="3"/>
  <c r="Y742" i="3"/>
  <c r="H744" i="3"/>
  <c r="W743" i="3"/>
  <c r="X743" i="3"/>
  <c r="Y743" i="3"/>
  <c r="H745" i="3"/>
  <c r="W744" i="3"/>
  <c r="X744" i="3"/>
  <c r="Y744" i="3"/>
  <c r="H746" i="3"/>
  <c r="W745" i="3"/>
  <c r="X745" i="3"/>
  <c r="Y745" i="3"/>
  <c r="H747" i="3"/>
  <c r="W746" i="3"/>
  <c r="X746" i="3"/>
  <c r="Y746" i="3"/>
  <c r="H748" i="3"/>
  <c r="W747" i="3"/>
  <c r="X747" i="3"/>
  <c r="Y747" i="3"/>
  <c r="H749" i="3"/>
  <c r="W748" i="3"/>
  <c r="X748" i="3"/>
  <c r="Y748" i="3"/>
  <c r="H750" i="3"/>
  <c r="W749" i="3"/>
  <c r="X749" i="3"/>
  <c r="Y749" i="3"/>
  <c r="H751" i="3"/>
  <c r="W750" i="3"/>
  <c r="X750" i="3"/>
  <c r="Y750" i="3"/>
  <c r="H752" i="3"/>
  <c r="W751" i="3"/>
  <c r="X751" i="3"/>
  <c r="Y751" i="3"/>
  <c r="H753" i="3"/>
  <c r="W752" i="3"/>
  <c r="X752" i="3"/>
  <c r="Y752" i="3"/>
  <c r="H754" i="3"/>
  <c r="W753" i="3"/>
  <c r="X753" i="3"/>
  <c r="Y753" i="3"/>
  <c r="H755" i="3"/>
  <c r="W754" i="3"/>
  <c r="X754" i="3"/>
  <c r="Y754" i="3"/>
  <c r="H756" i="3"/>
  <c r="W755" i="3"/>
  <c r="X755" i="3"/>
  <c r="Y755" i="3"/>
  <c r="H757" i="3"/>
  <c r="W756" i="3"/>
  <c r="X756" i="3"/>
  <c r="Y756" i="3"/>
  <c r="H758" i="3"/>
  <c r="W757" i="3"/>
  <c r="X757" i="3"/>
  <c r="Y757" i="3"/>
  <c r="H759" i="3"/>
  <c r="W758" i="3"/>
  <c r="X758" i="3"/>
  <c r="Y758" i="3"/>
  <c r="H760" i="3"/>
  <c r="W759" i="3"/>
  <c r="X759" i="3"/>
  <c r="Y759" i="3"/>
  <c r="H761" i="3"/>
  <c r="W760" i="3"/>
  <c r="X760" i="3"/>
  <c r="Y760" i="3"/>
  <c r="H762" i="3"/>
  <c r="W761" i="3"/>
  <c r="X761" i="3"/>
  <c r="Y761" i="3"/>
  <c r="H763" i="3"/>
  <c r="W762" i="3"/>
  <c r="X762" i="3"/>
  <c r="Y762" i="3"/>
  <c r="H764" i="3"/>
  <c r="W763" i="3"/>
  <c r="X763" i="3"/>
  <c r="Y763" i="3"/>
  <c r="H765" i="3"/>
  <c r="W764" i="3"/>
  <c r="X764" i="3"/>
  <c r="Y764" i="3"/>
  <c r="H766" i="3"/>
  <c r="W765" i="3"/>
  <c r="X765" i="3"/>
  <c r="Y765" i="3"/>
  <c r="H767" i="3"/>
  <c r="W766" i="3"/>
  <c r="X766" i="3"/>
  <c r="Y766" i="3"/>
  <c r="H768" i="3"/>
  <c r="W767" i="3"/>
  <c r="X767" i="3"/>
  <c r="Y767" i="3"/>
  <c r="H769" i="3"/>
  <c r="W768" i="3"/>
  <c r="X768" i="3"/>
  <c r="Y768" i="3"/>
  <c r="H770" i="3"/>
  <c r="W769" i="3"/>
  <c r="X769" i="3"/>
  <c r="Y769" i="3"/>
  <c r="H771" i="3"/>
  <c r="W770" i="3"/>
  <c r="X770" i="3"/>
  <c r="Y770" i="3"/>
  <c r="H772" i="3"/>
  <c r="W771" i="3"/>
  <c r="X771" i="3"/>
  <c r="Y771" i="3"/>
  <c r="H773" i="3"/>
  <c r="W772" i="3"/>
  <c r="X772" i="3"/>
  <c r="Y772" i="3"/>
  <c r="H774" i="3"/>
  <c r="W773" i="3"/>
  <c r="X773" i="3"/>
  <c r="Y773" i="3"/>
  <c r="H775" i="3"/>
  <c r="W774" i="3"/>
  <c r="X774" i="3"/>
  <c r="Y774" i="3"/>
  <c r="H776" i="3"/>
  <c r="W775" i="3"/>
  <c r="X775" i="3"/>
  <c r="Y775" i="3"/>
  <c r="H777" i="3"/>
  <c r="W776" i="3"/>
  <c r="X776" i="3"/>
  <c r="Y776" i="3"/>
  <c r="H778" i="3"/>
  <c r="W777" i="3"/>
  <c r="X777" i="3"/>
  <c r="Y777" i="3"/>
  <c r="H779" i="3"/>
  <c r="W778" i="3"/>
  <c r="X778" i="3"/>
  <c r="Y778" i="3"/>
  <c r="H780" i="3"/>
  <c r="W779" i="3"/>
  <c r="X779" i="3"/>
  <c r="Y779" i="3"/>
  <c r="H781" i="3"/>
  <c r="W780" i="3"/>
  <c r="X780" i="3"/>
  <c r="Y780" i="3"/>
  <c r="H782" i="3"/>
  <c r="W781" i="3"/>
  <c r="X781" i="3"/>
  <c r="Y781" i="3"/>
  <c r="H783" i="3"/>
  <c r="W782" i="3"/>
  <c r="X782" i="3"/>
  <c r="Y782" i="3"/>
  <c r="H784" i="3"/>
  <c r="W783" i="3"/>
  <c r="X783" i="3"/>
  <c r="Y783" i="3"/>
  <c r="H785" i="3"/>
  <c r="W784" i="3"/>
  <c r="X784" i="3"/>
  <c r="Y784" i="3"/>
  <c r="H786" i="3"/>
  <c r="W785" i="3"/>
  <c r="X785" i="3"/>
  <c r="Y785" i="3"/>
  <c r="H787" i="3"/>
  <c r="W786" i="3"/>
  <c r="X786" i="3"/>
  <c r="Y786" i="3"/>
  <c r="H788" i="3"/>
  <c r="W787" i="3"/>
  <c r="X787" i="3"/>
  <c r="Y787" i="3"/>
  <c r="H789" i="3"/>
  <c r="W788" i="3"/>
  <c r="X788" i="3"/>
  <c r="Y788" i="3"/>
  <c r="H790" i="3"/>
  <c r="W789" i="3"/>
  <c r="X789" i="3"/>
  <c r="Y789" i="3"/>
  <c r="H791" i="3"/>
  <c r="W790" i="3"/>
  <c r="X790" i="3"/>
  <c r="Y790" i="3"/>
  <c r="H792" i="3"/>
  <c r="W791" i="3"/>
  <c r="X791" i="3"/>
  <c r="Y791" i="3"/>
  <c r="H793" i="3"/>
  <c r="W792" i="3"/>
  <c r="X792" i="3"/>
  <c r="Y792" i="3"/>
  <c r="H794" i="3"/>
  <c r="W793" i="3"/>
  <c r="X793" i="3"/>
  <c r="Y793" i="3"/>
  <c r="H795" i="3"/>
  <c r="W794" i="3"/>
  <c r="X794" i="3"/>
  <c r="Y794" i="3"/>
  <c r="H796" i="3"/>
  <c r="W795" i="3"/>
  <c r="X795" i="3"/>
  <c r="Y795" i="3"/>
  <c r="H797" i="3"/>
  <c r="W796" i="3"/>
  <c r="X796" i="3"/>
  <c r="Y796" i="3"/>
  <c r="H798" i="3"/>
  <c r="W797" i="3"/>
  <c r="X797" i="3"/>
  <c r="Y797" i="3"/>
  <c r="H799" i="3"/>
  <c r="W798" i="3"/>
  <c r="X798" i="3"/>
  <c r="Y798" i="3"/>
  <c r="H800" i="3"/>
  <c r="W799" i="3"/>
  <c r="X799" i="3"/>
  <c r="Y799" i="3"/>
  <c r="H801" i="3"/>
  <c r="W800" i="3"/>
  <c r="X800" i="3"/>
  <c r="Y800" i="3"/>
  <c r="H802" i="3"/>
  <c r="W801" i="3"/>
  <c r="X801" i="3"/>
  <c r="Y801" i="3"/>
  <c r="H803" i="3"/>
  <c r="W802" i="3"/>
  <c r="X802" i="3"/>
  <c r="Y802" i="3"/>
  <c r="H804" i="3"/>
  <c r="W803" i="3"/>
  <c r="X803" i="3"/>
  <c r="Y803" i="3"/>
  <c r="H805" i="3"/>
  <c r="W804" i="3"/>
  <c r="X804" i="3"/>
  <c r="Y804" i="3"/>
  <c r="H806" i="3"/>
  <c r="W805" i="3"/>
  <c r="X805" i="3"/>
  <c r="Y805" i="3"/>
  <c r="H807" i="3"/>
  <c r="W806" i="3"/>
  <c r="X806" i="3"/>
  <c r="Y806" i="3"/>
  <c r="H808" i="3"/>
  <c r="W807" i="3"/>
  <c r="X807" i="3"/>
  <c r="Y807" i="3"/>
  <c r="H809" i="3"/>
  <c r="W808" i="3"/>
  <c r="X808" i="3"/>
  <c r="Y808" i="3"/>
  <c r="H810" i="3"/>
  <c r="W809" i="3"/>
  <c r="X809" i="3"/>
  <c r="Y809" i="3"/>
  <c r="H811" i="3"/>
  <c r="W810" i="3"/>
  <c r="X810" i="3"/>
  <c r="Y810" i="3"/>
  <c r="H812" i="3"/>
  <c r="W811" i="3"/>
  <c r="X811" i="3"/>
  <c r="Y811" i="3"/>
  <c r="H813" i="3"/>
  <c r="W812" i="3"/>
  <c r="X812" i="3"/>
  <c r="Y812" i="3"/>
  <c r="H814" i="3"/>
  <c r="W813" i="3"/>
  <c r="X813" i="3"/>
  <c r="Y813" i="3"/>
  <c r="H815" i="3"/>
  <c r="W814" i="3"/>
  <c r="X814" i="3"/>
  <c r="Y814" i="3"/>
  <c r="H816" i="3"/>
  <c r="W815" i="3"/>
  <c r="X815" i="3"/>
  <c r="Y815" i="3"/>
  <c r="H817" i="3"/>
  <c r="W816" i="3"/>
  <c r="X816" i="3"/>
  <c r="Y816" i="3"/>
  <c r="H818" i="3"/>
  <c r="W817" i="3"/>
  <c r="X817" i="3"/>
  <c r="Y817" i="3"/>
  <c r="H819" i="3"/>
  <c r="W818" i="3"/>
  <c r="X818" i="3"/>
  <c r="Y818" i="3"/>
  <c r="H820" i="3"/>
  <c r="W819" i="3"/>
  <c r="X819" i="3"/>
  <c r="Y819" i="3"/>
  <c r="H821" i="3"/>
  <c r="W820" i="3"/>
  <c r="X820" i="3"/>
  <c r="Y820" i="3"/>
  <c r="H822" i="3"/>
  <c r="W821" i="3"/>
  <c r="X821" i="3"/>
  <c r="Y821" i="3"/>
  <c r="H823" i="3"/>
  <c r="W822" i="3"/>
  <c r="X822" i="3"/>
  <c r="Y822" i="3"/>
  <c r="H824" i="3"/>
  <c r="W823" i="3"/>
  <c r="X823" i="3"/>
  <c r="Y823" i="3"/>
  <c r="H825" i="3"/>
  <c r="W824" i="3"/>
  <c r="X824" i="3"/>
  <c r="Y824" i="3"/>
  <c r="H826" i="3"/>
  <c r="W825" i="3"/>
  <c r="X825" i="3"/>
  <c r="Y825" i="3"/>
  <c r="H827" i="3"/>
  <c r="W826" i="3"/>
  <c r="X826" i="3"/>
  <c r="Y826" i="3"/>
  <c r="H828" i="3"/>
  <c r="W827" i="3"/>
  <c r="X827" i="3"/>
  <c r="Y827" i="3"/>
  <c r="H829" i="3"/>
  <c r="W828" i="3"/>
  <c r="X828" i="3"/>
  <c r="Y828" i="3"/>
  <c r="H830" i="3"/>
  <c r="W829" i="3"/>
  <c r="X829" i="3"/>
  <c r="Y829" i="3"/>
  <c r="H831" i="3"/>
  <c r="W830" i="3"/>
  <c r="X830" i="3"/>
  <c r="Y830" i="3"/>
  <c r="H832" i="3"/>
  <c r="W831" i="3"/>
  <c r="X831" i="3"/>
  <c r="Y831" i="3"/>
  <c r="H833" i="3"/>
  <c r="W832" i="3"/>
  <c r="X832" i="3"/>
  <c r="Y832" i="3"/>
  <c r="H834" i="3"/>
  <c r="W833" i="3"/>
  <c r="X833" i="3"/>
  <c r="Y833" i="3"/>
  <c r="H835" i="3"/>
  <c r="W834" i="3"/>
  <c r="X834" i="3"/>
  <c r="Y834" i="3"/>
  <c r="H836" i="3"/>
  <c r="W835" i="3"/>
  <c r="X835" i="3"/>
  <c r="Y835" i="3"/>
  <c r="H837" i="3"/>
  <c r="W836" i="3"/>
  <c r="X836" i="3"/>
  <c r="Y836" i="3"/>
  <c r="H838" i="3"/>
  <c r="W837" i="3"/>
  <c r="X837" i="3"/>
  <c r="Y837" i="3"/>
  <c r="H839" i="3"/>
  <c r="W838" i="3"/>
  <c r="X838" i="3"/>
  <c r="Y838" i="3"/>
  <c r="H840" i="3"/>
  <c r="W839" i="3"/>
  <c r="X839" i="3"/>
  <c r="Y839" i="3"/>
  <c r="H841" i="3"/>
  <c r="W840" i="3"/>
  <c r="X840" i="3"/>
  <c r="Y840" i="3"/>
  <c r="H842" i="3"/>
  <c r="W841" i="3"/>
  <c r="X841" i="3"/>
  <c r="Y841" i="3"/>
  <c r="H843" i="3"/>
  <c r="W842" i="3"/>
  <c r="X842" i="3"/>
  <c r="Y842" i="3"/>
  <c r="H844" i="3"/>
  <c r="W843" i="3"/>
  <c r="X843" i="3"/>
  <c r="Y843" i="3"/>
  <c r="H845" i="3"/>
  <c r="W844" i="3"/>
  <c r="X844" i="3"/>
  <c r="Y844" i="3"/>
  <c r="H846" i="3"/>
  <c r="W845" i="3"/>
  <c r="X845" i="3"/>
  <c r="Y845" i="3"/>
  <c r="H847" i="3"/>
  <c r="W846" i="3"/>
  <c r="X846" i="3"/>
  <c r="Y846" i="3"/>
  <c r="H848" i="3"/>
  <c r="W847" i="3"/>
  <c r="X847" i="3"/>
  <c r="Y847" i="3"/>
  <c r="H849" i="3"/>
  <c r="W848" i="3"/>
  <c r="X848" i="3"/>
  <c r="Y848" i="3"/>
  <c r="H850" i="3"/>
  <c r="W849" i="3"/>
  <c r="X849" i="3"/>
  <c r="Y849" i="3"/>
  <c r="H851" i="3"/>
  <c r="W850" i="3"/>
  <c r="X850" i="3"/>
  <c r="Y850" i="3"/>
  <c r="H852" i="3"/>
  <c r="W851" i="3"/>
  <c r="X851" i="3"/>
  <c r="Y851" i="3"/>
  <c r="H853" i="3"/>
  <c r="W852" i="3"/>
  <c r="X852" i="3"/>
  <c r="Y852" i="3"/>
  <c r="H854" i="3"/>
  <c r="W853" i="3"/>
  <c r="X853" i="3"/>
  <c r="Y853" i="3"/>
  <c r="H855" i="3"/>
  <c r="W854" i="3"/>
  <c r="X854" i="3"/>
  <c r="Y854" i="3"/>
  <c r="H856" i="3"/>
  <c r="W855" i="3"/>
  <c r="X855" i="3"/>
  <c r="Y855" i="3"/>
  <c r="H857" i="3"/>
  <c r="W856" i="3"/>
  <c r="X856" i="3"/>
  <c r="Y856" i="3"/>
  <c r="H858" i="3"/>
  <c r="W857" i="3"/>
  <c r="X857" i="3"/>
  <c r="Y857" i="3"/>
  <c r="H859" i="3"/>
  <c r="W858" i="3"/>
  <c r="X858" i="3"/>
  <c r="Y858" i="3"/>
  <c r="H860" i="3"/>
  <c r="W859" i="3"/>
  <c r="X859" i="3"/>
  <c r="Y859" i="3"/>
  <c r="H861" i="3"/>
  <c r="W860" i="3"/>
  <c r="X860" i="3"/>
  <c r="Y860" i="3"/>
  <c r="H862" i="3"/>
  <c r="W861" i="3"/>
  <c r="X861" i="3"/>
  <c r="Y861" i="3"/>
  <c r="H863" i="3"/>
  <c r="W862" i="3"/>
  <c r="X862" i="3"/>
  <c r="Y862" i="3"/>
  <c r="H864" i="3"/>
  <c r="W863" i="3"/>
  <c r="X863" i="3"/>
  <c r="Y863" i="3"/>
  <c r="H865" i="3"/>
  <c r="W864" i="3"/>
  <c r="X864" i="3"/>
  <c r="Y864" i="3"/>
  <c r="H866" i="3"/>
  <c r="W865" i="3"/>
  <c r="X865" i="3"/>
  <c r="Y865" i="3"/>
  <c r="H867" i="3"/>
  <c r="W866" i="3"/>
  <c r="X866" i="3"/>
  <c r="Y866" i="3"/>
  <c r="H868" i="3"/>
  <c r="W867" i="3"/>
  <c r="X867" i="3"/>
  <c r="Y867" i="3"/>
  <c r="H869" i="3"/>
  <c r="W868" i="3"/>
  <c r="X868" i="3"/>
  <c r="Y868" i="3"/>
  <c r="H870" i="3"/>
  <c r="W869" i="3"/>
  <c r="X869" i="3"/>
  <c r="Y869" i="3"/>
  <c r="H871" i="3"/>
  <c r="W870" i="3"/>
  <c r="X870" i="3"/>
  <c r="Y870" i="3"/>
  <c r="H872" i="3"/>
  <c r="W871" i="3"/>
  <c r="X871" i="3"/>
  <c r="Y871" i="3"/>
  <c r="H873" i="3"/>
  <c r="W872" i="3"/>
  <c r="X872" i="3"/>
  <c r="Y872" i="3"/>
  <c r="H874" i="3"/>
  <c r="W873" i="3"/>
  <c r="X873" i="3"/>
  <c r="Y873" i="3"/>
  <c r="H875" i="3"/>
  <c r="W874" i="3"/>
  <c r="X874" i="3"/>
  <c r="Y874" i="3"/>
  <c r="H876" i="3"/>
  <c r="W875" i="3"/>
  <c r="X875" i="3"/>
  <c r="Y875" i="3"/>
  <c r="H877" i="3"/>
  <c r="W876" i="3"/>
  <c r="X876" i="3"/>
  <c r="Y876" i="3"/>
  <c r="H878" i="3"/>
  <c r="W877" i="3"/>
  <c r="X877" i="3"/>
  <c r="Y877" i="3"/>
  <c r="H879" i="3"/>
  <c r="W878" i="3"/>
  <c r="X878" i="3"/>
  <c r="Y878" i="3"/>
  <c r="H880" i="3"/>
  <c r="W879" i="3"/>
  <c r="X879" i="3"/>
  <c r="Y879" i="3"/>
  <c r="H881" i="3"/>
  <c r="W880" i="3"/>
  <c r="X880" i="3"/>
  <c r="Y880" i="3"/>
  <c r="H882" i="3"/>
  <c r="W881" i="3"/>
  <c r="X881" i="3"/>
  <c r="Y881" i="3"/>
  <c r="H883" i="3"/>
  <c r="W882" i="3"/>
  <c r="X882" i="3"/>
  <c r="Y882" i="3"/>
  <c r="H884" i="3"/>
  <c r="W883" i="3"/>
  <c r="X883" i="3"/>
  <c r="Y883" i="3"/>
  <c r="H885" i="3"/>
  <c r="W884" i="3"/>
  <c r="X884" i="3"/>
  <c r="Y884" i="3"/>
  <c r="H886" i="3"/>
  <c r="W885" i="3"/>
  <c r="X885" i="3"/>
  <c r="Y885" i="3"/>
  <c r="H887" i="3"/>
  <c r="W886" i="3"/>
  <c r="X886" i="3"/>
  <c r="Y886" i="3"/>
  <c r="H888" i="3"/>
  <c r="W887" i="3"/>
  <c r="X887" i="3"/>
  <c r="Y887" i="3"/>
  <c r="H889" i="3"/>
  <c r="W888" i="3"/>
  <c r="X888" i="3"/>
  <c r="Y888" i="3"/>
  <c r="H890" i="3"/>
  <c r="W889" i="3"/>
  <c r="X889" i="3"/>
  <c r="Y889" i="3"/>
  <c r="H891" i="3"/>
  <c r="W890" i="3"/>
  <c r="X890" i="3"/>
  <c r="Y890" i="3"/>
  <c r="H892" i="3"/>
  <c r="W891" i="3"/>
  <c r="X891" i="3"/>
  <c r="Y891" i="3"/>
  <c r="H893" i="3"/>
  <c r="W892" i="3"/>
  <c r="X892" i="3"/>
  <c r="Y892" i="3"/>
  <c r="H894" i="3"/>
  <c r="W893" i="3"/>
  <c r="X893" i="3"/>
  <c r="Y893" i="3"/>
  <c r="H895" i="3"/>
  <c r="W894" i="3"/>
  <c r="X894" i="3"/>
  <c r="Y894" i="3"/>
  <c r="H896" i="3"/>
  <c r="W895" i="3"/>
  <c r="X895" i="3"/>
  <c r="Y895" i="3"/>
  <c r="H897" i="3"/>
  <c r="W896" i="3"/>
  <c r="X896" i="3"/>
  <c r="Y896" i="3"/>
  <c r="H898" i="3"/>
  <c r="W897" i="3"/>
  <c r="X897" i="3"/>
  <c r="Y897" i="3"/>
  <c r="H899" i="3"/>
  <c r="W898" i="3"/>
  <c r="X898" i="3"/>
  <c r="Y898" i="3"/>
  <c r="H900" i="3"/>
  <c r="W899" i="3"/>
  <c r="X899" i="3"/>
  <c r="Y899" i="3"/>
  <c r="H901" i="3"/>
  <c r="W900" i="3"/>
  <c r="X900" i="3"/>
  <c r="Y900" i="3"/>
  <c r="H902" i="3"/>
  <c r="W901" i="3"/>
  <c r="X901" i="3"/>
  <c r="Y901" i="3"/>
  <c r="H903" i="3"/>
  <c r="W902" i="3"/>
  <c r="X902" i="3"/>
  <c r="Y902" i="3"/>
  <c r="H904" i="3"/>
  <c r="W903" i="3"/>
  <c r="X903" i="3"/>
  <c r="Y903" i="3"/>
  <c r="H905" i="3"/>
  <c r="W904" i="3"/>
  <c r="X904" i="3"/>
  <c r="Y904" i="3"/>
  <c r="H906" i="3"/>
  <c r="W905" i="3"/>
  <c r="X905" i="3"/>
  <c r="Y905" i="3"/>
  <c r="H907" i="3"/>
  <c r="W906" i="3"/>
  <c r="X906" i="3"/>
  <c r="Y906" i="3"/>
  <c r="H908" i="3"/>
  <c r="W907" i="3"/>
  <c r="X907" i="3"/>
  <c r="Y907" i="3"/>
  <c r="H909" i="3"/>
  <c r="W908" i="3"/>
  <c r="X908" i="3"/>
  <c r="Y908" i="3"/>
  <c r="H910" i="3"/>
  <c r="W909" i="3"/>
  <c r="X909" i="3"/>
  <c r="Y909" i="3"/>
  <c r="H911" i="3"/>
  <c r="W910" i="3"/>
  <c r="X910" i="3"/>
  <c r="Y910" i="3"/>
  <c r="H912" i="3"/>
  <c r="W911" i="3"/>
  <c r="X911" i="3"/>
  <c r="Y911" i="3"/>
  <c r="H913" i="3"/>
  <c r="W912" i="3"/>
  <c r="X912" i="3"/>
  <c r="Y912" i="3"/>
  <c r="H914" i="3"/>
  <c r="W913" i="3"/>
  <c r="X913" i="3"/>
  <c r="Y913" i="3"/>
  <c r="H915" i="3"/>
  <c r="W914" i="3"/>
  <c r="X914" i="3"/>
  <c r="Y914" i="3"/>
  <c r="H916" i="3"/>
  <c r="W915" i="3"/>
  <c r="X915" i="3"/>
  <c r="Y915" i="3"/>
  <c r="H917" i="3"/>
  <c r="W916" i="3"/>
  <c r="X916" i="3"/>
  <c r="Y916" i="3"/>
  <c r="H918" i="3"/>
  <c r="W917" i="3"/>
  <c r="X917" i="3"/>
  <c r="Y917" i="3"/>
  <c r="H919" i="3"/>
  <c r="W918" i="3"/>
  <c r="X918" i="3"/>
  <c r="Y918" i="3"/>
  <c r="H920" i="3"/>
  <c r="W919" i="3"/>
  <c r="X919" i="3"/>
  <c r="Y919" i="3"/>
  <c r="H921" i="3"/>
  <c r="W920" i="3"/>
  <c r="X920" i="3"/>
  <c r="Y920" i="3"/>
  <c r="H922" i="3"/>
  <c r="W921" i="3"/>
  <c r="X921" i="3"/>
  <c r="Y921" i="3"/>
  <c r="H923" i="3"/>
  <c r="W922" i="3"/>
  <c r="X922" i="3"/>
  <c r="Y922" i="3"/>
  <c r="H924" i="3"/>
  <c r="W923" i="3"/>
  <c r="X923" i="3"/>
  <c r="Y923" i="3"/>
  <c r="H925" i="3"/>
  <c r="W924" i="3"/>
  <c r="X924" i="3"/>
  <c r="Y924" i="3"/>
  <c r="H926" i="3"/>
  <c r="W925" i="3"/>
  <c r="X925" i="3"/>
  <c r="Y925" i="3"/>
  <c r="H927" i="3"/>
  <c r="W926" i="3"/>
  <c r="X926" i="3"/>
  <c r="Y926" i="3"/>
  <c r="H928" i="3"/>
  <c r="W927" i="3"/>
  <c r="X927" i="3"/>
  <c r="Y927" i="3"/>
  <c r="H929" i="3"/>
  <c r="W928" i="3"/>
  <c r="X928" i="3"/>
  <c r="Y928" i="3"/>
  <c r="H930" i="3"/>
  <c r="W929" i="3"/>
  <c r="X929" i="3"/>
  <c r="Y929" i="3"/>
  <c r="H931" i="3"/>
  <c r="W930" i="3"/>
  <c r="X930" i="3"/>
  <c r="Y930" i="3"/>
  <c r="H932" i="3"/>
  <c r="W931" i="3"/>
  <c r="X931" i="3"/>
  <c r="Y931" i="3"/>
  <c r="H933" i="3"/>
  <c r="W932" i="3"/>
  <c r="X932" i="3"/>
  <c r="Y932" i="3"/>
  <c r="H934" i="3"/>
  <c r="W933" i="3"/>
  <c r="X933" i="3"/>
  <c r="Y933" i="3"/>
  <c r="H935" i="3"/>
  <c r="W934" i="3"/>
  <c r="X934" i="3"/>
  <c r="Y934" i="3"/>
  <c r="H936" i="3"/>
  <c r="W935" i="3"/>
  <c r="X935" i="3"/>
  <c r="Y935" i="3"/>
  <c r="H937" i="3"/>
  <c r="W936" i="3"/>
  <c r="X936" i="3"/>
  <c r="Y936" i="3"/>
  <c r="H938" i="3"/>
  <c r="W937" i="3"/>
  <c r="X937" i="3"/>
  <c r="Y937" i="3"/>
  <c r="H939" i="3"/>
  <c r="W938" i="3"/>
  <c r="X938" i="3"/>
  <c r="Y938" i="3"/>
  <c r="H940" i="3"/>
  <c r="W939" i="3"/>
  <c r="X939" i="3"/>
  <c r="Y939" i="3"/>
  <c r="H941" i="3"/>
  <c r="W940" i="3"/>
  <c r="X940" i="3"/>
  <c r="Y940" i="3"/>
  <c r="H942" i="3"/>
  <c r="W941" i="3"/>
  <c r="X941" i="3"/>
  <c r="Y941" i="3"/>
  <c r="H943" i="3"/>
  <c r="W942" i="3"/>
  <c r="X942" i="3"/>
  <c r="Y942" i="3"/>
  <c r="H944" i="3"/>
  <c r="W943" i="3"/>
  <c r="X943" i="3"/>
  <c r="Y943" i="3"/>
  <c r="H945" i="3"/>
  <c r="W944" i="3"/>
  <c r="X944" i="3"/>
  <c r="Y944" i="3"/>
  <c r="H946" i="3"/>
  <c r="W945" i="3"/>
  <c r="X945" i="3"/>
  <c r="Y945" i="3"/>
  <c r="H947" i="3"/>
  <c r="W946" i="3"/>
  <c r="X946" i="3"/>
  <c r="Y946" i="3"/>
  <c r="H948" i="3"/>
  <c r="W947" i="3"/>
  <c r="X947" i="3"/>
  <c r="Y947" i="3"/>
  <c r="H949" i="3"/>
  <c r="W948" i="3"/>
  <c r="X948" i="3"/>
  <c r="Y948" i="3"/>
  <c r="H950" i="3"/>
  <c r="W949" i="3"/>
  <c r="X949" i="3"/>
  <c r="Y949" i="3"/>
  <c r="H951" i="3"/>
  <c r="W950" i="3"/>
  <c r="X950" i="3"/>
  <c r="Y950" i="3"/>
  <c r="H952" i="3"/>
  <c r="W951" i="3"/>
  <c r="X951" i="3"/>
  <c r="Y951" i="3"/>
  <c r="H953" i="3"/>
  <c r="W952" i="3"/>
  <c r="X952" i="3"/>
  <c r="Y952" i="3"/>
  <c r="H954" i="3"/>
  <c r="W953" i="3"/>
  <c r="X953" i="3"/>
  <c r="Y953" i="3"/>
  <c r="H955" i="3"/>
  <c r="W954" i="3"/>
  <c r="X954" i="3"/>
  <c r="Y954" i="3"/>
  <c r="H956" i="3"/>
  <c r="W955" i="3"/>
  <c r="X955" i="3"/>
  <c r="Y955" i="3"/>
  <c r="H957" i="3"/>
  <c r="W956" i="3"/>
  <c r="X956" i="3"/>
  <c r="Y956" i="3"/>
  <c r="H958" i="3"/>
  <c r="W957" i="3"/>
  <c r="X957" i="3"/>
  <c r="Y957" i="3"/>
  <c r="H959" i="3"/>
  <c r="W958" i="3"/>
  <c r="X958" i="3"/>
  <c r="Y958" i="3"/>
  <c r="H960" i="3"/>
  <c r="W959" i="3"/>
  <c r="X959" i="3"/>
  <c r="Y959" i="3"/>
  <c r="H961" i="3"/>
  <c r="W960" i="3"/>
  <c r="X960" i="3"/>
  <c r="Y960" i="3"/>
  <c r="H962" i="3"/>
  <c r="W961" i="3"/>
  <c r="X961" i="3"/>
  <c r="Y961" i="3"/>
  <c r="H963" i="3"/>
  <c r="W962" i="3"/>
  <c r="X962" i="3"/>
  <c r="Y962" i="3"/>
  <c r="H964" i="3"/>
  <c r="W963" i="3"/>
  <c r="X963" i="3"/>
  <c r="Y963" i="3"/>
  <c r="H965" i="3"/>
  <c r="W964" i="3"/>
  <c r="X964" i="3"/>
  <c r="Y964" i="3"/>
  <c r="H966" i="3"/>
  <c r="W965" i="3"/>
  <c r="X965" i="3"/>
  <c r="Y965" i="3"/>
  <c r="H967" i="3"/>
  <c r="W966" i="3"/>
  <c r="X966" i="3"/>
  <c r="Y966" i="3"/>
  <c r="H968" i="3"/>
  <c r="W967" i="3"/>
  <c r="X967" i="3"/>
  <c r="Y967" i="3"/>
  <c r="H969" i="3"/>
  <c r="W968" i="3"/>
  <c r="X968" i="3"/>
  <c r="Y968" i="3"/>
  <c r="H970" i="3"/>
  <c r="W969" i="3"/>
  <c r="X969" i="3"/>
  <c r="Y969" i="3"/>
  <c r="H971" i="3"/>
  <c r="W970" i="3"/>
  <c r="X970" i="3"/>
  <c r="Y970" i="3"/>
  <c r="H972" i="3"/>
  <c r="W971" i="3"/>
  <c r="X971" i="3"/>
  <c r="Y971" i="3"/>
  <c r="H973" i="3"/>
  <c r="W972" i="3"/>
  <c r="X972" i="3"/>
  <c r="Y972" i="3"/>
  <c r="H974" i="3"/>
  <c r="W973" i="3"/>
  <c r="X973" i="3"/>
  <c r="Y973" i="3"/>
  <c r="H975" i="3"/>
  <c r="W974" i="3"/>
  <c r="X974" i="3"/>
  <c r="Y974" i="3"/>
  <c r="H976" i="3"/>
  <c r="W975" i="3"/>
  <c r="X975" i="3"/>
  <c r="Y975" i="3"/>
  <c r="H977" i="3"/>
  <c r="W976" i="3"/>
  <c r="X976" i="3"/>
  <c r="Y976" i="3"/>
  <c r="H978" i="3"/>
  <c r="W977" i="3"/>
  <c r="X977" i="3"/>
  <c r="Y977" i="3"/>
  <c r="H979" i="3"/>
  <c r="W978" i="3"/>
  <c r="X978" i="3"/>
  <c r="Y978" i="3"/>
  <c r="H980" i="3"/>
  <c r="W979" i="3"/>
  <c r="X979" i="3"/>
  <c r="Y979" i="3"/>
  <c r="H981" i="3"/>
  <c r="W980" i="3"/>
  <c r="X980" i="3"/>
  <c r="Y980" i="3"/>
  <c r="H982" i="3"/>
  <c r="W981" i="3"/>
  <c r="X981" i="3"/>
  <c r="Y981" i="3"/>
  <c r="H983" i="3"/>
  <c r="W982" i="3"/>
  <c r="X982" i="3"/>
  <c r="Y982" i="3"/>
  <c r="H984" i="3"/>
  <c r="W983" i="3"/>
  <c r="X983" i="3"/>
  <c r="Y983" i="3"/>
  <c r="H985" i="3"/>
  <c r="W984" i="3"/>
  <c r="X984" i="3"/>
  <c r="Y984" i="3"/>
  <c r="H986" i="3"/>
  <c r="W985" i="3"/>
  <c r="X985" i="3"/>
  <c r="Y985" i="3"/>
  <c r="H987" i="3"/>
  <c r="W986" i="3"/>
  <c r="X986" i="3"/>
  <c r="Y986" i="3"/>
  <c r="H988" i="3"/>
  <c r="W987" i="3"/>
  <c r="X987" i="3"/>
  <c r="Y987" i="3"/>
  <c r="H989" i="3"/>
  <c r="W988" i="3"/>
  <c r="X988" i="3"/>
  <c r="Y988" i="3"/>
  <c r="H990" i="3"/>
  <c r="W989" i="3"/>
  <c r="X989" i="3"/>
  <c r="Y989" i="3"/>
  <c r="H991" i="3"/>
  <c r="W990" i="3"/>
  <c r="X990" i="3"/>
  <c r="Y990" i="3"/>
  <c r="H992" i="3"/>
  <c r="W991" i="3"/>
  <c r="X991" i="3"/>
  <c r="Y991" i="3"/>
  <c r="H993" i="3"/>
  <c r="W992" i="3"/>
  <c r="X992" i="3"/>
  <c r="Y992" i="3"/>
  <c r="H994" i="3"/>
  <c r="W993" i="3"/>
  <c r="X993" i="3"/>
  <c r="Y993" i="3"/>
  <c r="H995" i="3"/>
  <c r="W994" i="3"/>
  <c r="X994" i="3"/>
  <c r="Y994" i="3"/>
  <c r="H996" i="3"/>
  <c r="W995" i="3"/>
  <c r="X995" i="3"/>
  <c r="Y995" i="3"/>
  <c r="H997" i="3"/>
  <c r="W996" i="3"/>
  <c r="X996" i="3"/>
  <c r="Y996" i="3"/>
  <c r="H998" i="3"/>
  <c r="W997" i="3"/>
  <c r="X997" i="3"/>
  <c r="Y997" i="3"/>
  <c r="H999" i="3"/>
  <c r="W998" i="3"/>
  <c r="X998" i="3"/>
  <c r="Y998" i="3"/>
  <c r="H1000" i="3"/>
  <c r="W999" i="3"/>
  <c r="X999" i="3"/>
  <c r="Y999" i="3"/>
  <c r="H1001" i="3"/>
  <c r="W1000" i="3"/>
  <c r="X1000" i="3"/>
  <c r="Y1000" i="3"/>
  <c r="H1002" i="3"/>
  <c r="W1001" i="3"/>
  <c r="X1001" i="3"/>
  <c r="Y1001" i="3"/>
  <c r="H1003" i="3"/>
  <c r="W1002" i="3"/>
  <c r="X1002" i="3"/>
  <c r="Y1002" i="3"/>
  <c r="H1004" i="3"/>
  <c r="W1003" i="3"/>
  <c r="X1003" i="3"/>
  <c r="Y1003" i="3"/>
  <c r="H1005" i="3"/>
  <c r="W1004" i="3"/>
  <c r="X1004" i="3"/>
  <c r="Y1004" i="3"/>
  <c r="H1006" i="3"/>
  <c r="W1005" i="3"/>
  <c r="X1005" i="3"/>
  <c r="Y1005" i="3"/>
  <c r="H1007" i="3"/>
  <c r="W1006" i="3"/>
  <c r="X1006" i="3"/>
  <c r="Y1006" i="3"/>
  <c r="H1008" i="3"/>
  <c r="W1007" i="3"/>
  <c r="X1007" i="3"/>
  <c r="Y1007" i="3"/>
  <c r="H1009" i="3"/>
  <c r="W1008" i="3"/>
  <c r="X1008" i="3"/>
  <c r="Y1008" i="3"/>
  <c r="H1010" i="3"/>
  <c r="W1009" i="3"/>
  <c r="X1009" i="3"/>
  <c r="Y1009" i="3"/>
  <c r="H1011" i="3"/>
  <c r="W1010" i="3"/>
  <c r="X1010" i="3"/>
  <c r="Y1010" i="3"/>
  <c r="H1012" i="3"/>
  <c r="W1011" i="3"/>
  <c r="X1011" i="3"/>
  <c r="Y1011" i="3"/>
  <c r="H1013" i="3"/>
  <c r="W1012" i="3"/>
  <c r="X1012" i="3"/>
  <c r="Y1012" i="3"/>
  <c r="H1014" i="3"/>
  <c r="W1013" i="3"/>
  <c r="X1013" i="3"/>
  <c r="Y1013" i="3"/>
  <c r="H1015" i="3"/>
  <c r="W1014" i="3"/>
  <c r="X1014" i="3"/>
  <c r="Y1014" i="3"/>
  <c r="H1016" i="3"/>
  <c r="W1015" i="3"/>
  <c r="X1015" i="3"/>
  <c r="Y1015" i="3"/>
  <c r="H1017" i="3"/>
  <c r="W1016" i="3"/>
  <c r="X1016" i="3"/>
  <c r="Y1016" i="3"/>
  <c r="H1018" i="3"/>
  <c r="W1017" i="3"/>
  <c r="X1017" i="3"/>
  <c r="Y1017" i="3"/>
  <c r="H1019" i="3"/>
  <c r="W1018" i="3"/>
  <c r="X1018" i="3"/>
  <c r="Y1018" i="3"/>
  <c r="H1020" i="3"/>
  <c r="W1019" i="3"/>
  <c r="X1019" i="3"/>
  <c r="Y1019" i="3"/>
  <c r="H1021" i="3"/>
  <c r="W1020" i="3"/>
  <c r="X1020" i="3"/>
  <c r="Y1020" i="3"/>
  <c r="H1022" i="3"/>
  <c r="W1021" i="3"/>
  <c r="X1021" i="3"/>
  <c r="Y1021" i="3"/>
  <c r="H1023" i="3"/>
  <c r="W1022" i="3"/>
  <c r="X1022" i="3"/>
  <c r="Y1022" i="3"/>
  <c r="H1024" i="3"/>
  <c r="W1023" i="3"/>
  <c r="X1023" i="3"/>
  <c r="Y1023" i="3"/>
  <c r="H1025" i="3"/>
  <c r="W1024" i="3"/>
  <c r="X1024" i="3"/>
  <c r="Y1024" i="3"/>
  <c r="H1026" i="3"/>
  <c r="W1025" i="3"/>
  <c r="X1025" i="3"/>
  <c r="Y1025" i="3"/>
  <c r="H1027" i="3"/>
  <c r="W1026" i="3"/>
  <c r="X1026" i="3"/>
  <c r="Y1026" i="3"/>
  <c r="H1028" i="3"/>
  <c r="W1027" i="3"/>
  <c r="X1027" i="3"/>
  <c r="Y1027" i="3"/>
  <c r="H1029" i="3"/>
  <c r="W1028" i="3"/>
  <c r="X1028" i="3"/>
  <c r="Y1028" i="3"/>
  <c r="H1030" i="3"/>
  <c r="W1029" i="3"/>
  <c r="X1029" i="3"/>
  <c r="Y1029" i="3"/>
  <c r="H1031" i="3"/>
  <c r="W1030" i="3"/>
  <c r="X1030" i="3"/>
  <c r="Y1030" i="3"/>
  <c r="H1032" i="3"/>
  <c r="W1031" i="3"/>
  <c r="X1031" i="3"/>
  <c r="Y1031" i="3"/>
  <c r="H1033" i="3"/>
  <c r="W1032" i="3"/>
  <c r="X1032" i="3"/>
  <c r="Y1032" i="3"/>
  <c r="H1034" i="3"/>
  <c r="W1033" i="3"/>
  <c r="X1033" i="3"/>
  <c r="Y1033" i="3"/>
  <c r="H1035" i="3"/>
  <c r="W1034" i="3"/>
  <c r="X1034" i="3"/>
  <c r="Y1034" i="3"/>
  <c r="H1036" i="3"/>
  <c r="W1035" i="3"/>
  <c r="X1035" i="3"/>
  <c r="Y1035" i="3"/>
  <c r="H1037" i="3"/>
  <c r="W1036" i="3"/>
  <c r="X1036" i="3"/>
  <c r="Y1036" i="3"/>
  <c r="H1038" i="3"/>
  <c r="W1037" i="3"/>
  <c r="X1037" i="3"/>
  <c r="Y1037" i="3"/>
  <c r="H1039" i="3"/>
  <c r="W1038" i="3"/>
  <c r="X1038" i="3"/>
  <c r="Y1038" i="3"/>
  <c r="H1040" i="3"/>
  <c r="W1039" i="3"/>
  <c r="X1039" i="3"/>
  <c r="Y1039" i="3"/>
  <c r="H1041" i="3"/>
  <c r="W1040" i="3"/>
  <c r="X1040" i="3"/>
  <c r="Y1040" i="3"/>
  <c r="H1042" i="3"/>
  <c r="W1041" i="3"/>
  <c r="X1041" i="3"/>
  <c r="Y1041" i="3"/>
  <c r="H1043" i="3"/>
  <c r="W1042" i="3"/>
  <c r="X1042" i="3"/>
  <c r="Y1042" i="3"/>
  <c r="H1044" i="3"/>
  <c r="W1043" i="3"/>
  <c r="X1043" i="3"/>
  <c r="Y1043" i="3"/>
  <c r="H1045" i="3"/>
  <c r="W1044" i="3"/>
  <c r="X1044" i="3"/>
  <c r="Y1044" i="3"/>
  <c r="H1046" i="3"/>
  <c r="W1045" i="3"/>
  <c r="X1045" i="3"/>
  <c r="Y1045" i="3"/>
  <c r="H1047" i="3"/>
  <c r="W1046" i="3"/>
  <c r="X1046" i="3"/>
  <c r="Y1046" i="3"/>
  <c r="H1048" i="3"/>
  <c r="W1047" i="3"/>
  <c r="X1047" i="3"/>
  <c r="Y1047" i="3"/>
  <c r="H1049" i="3"/>
  <c r="W1048" i="3"/>
  <c r="X1048" i="3"/>
  <c r="Y1048" i="3"/>
  <c r="H1050" i="3"/>
  <c r="W1049" i="3"/>
  <c r="X1049" i="3"/>
  <c r="Y1049" i="3"/>
  <c r="H1051" i="3"/>
  <c r="W1050" i="3"/>
  <c r="X1050" i="3"/>
  <c r="Y1050" i="3"/>
  <c r="H1052" i="3"/>
  <c r="W1051" i="3"/>
  <c r="X1051" i="3"/>
  <c r="Y1051" i="3"/>
  <c r="H1053" i="3"/>
  <c r="W1052" i="3"/>
  <c r="X1052" i="3"/>
  <c r="Y1052" i="3"/>
  <c r="H1054" i="3"/>
  <c r="W1053" i="3"/>
  <c r="X1053" i="3"/>
  <c r="Y1053" i="3"/>
  <c r="H1055" i="3"/>
  <c r="W1054" i="3"/>
  <c r="X1054" i="3"/>
  <c r="Y1054" i="3"/>
  <c r="H1056" i="3"/>
  <c r="W1055" i="3"/>
  <c r="X1055" i="3"/>
  <c r="Y1055" i="3"/>
  <c r="H1057" i="3"/>
  <c r="W1056" i="3"/>
  <c r="X1056" i="3"/>
  <c r="Y1056" i="3"/>
  <c r="H1058" i="3"/>
  <c r="W1057" i="3"/>
  <c r="X1057" i="3"/>
  <c r="Y1057" i="3"/>
  <c r="H1059" i="3"/>
  <c r="W1058" i="3"/>
  <c r="X1058" i="3"/>
  <c r="Y1058" i="3"/>
  <c r="H1060" i="3"/>
  <c r="W1059" i="3"/>
  <c r="X1059" i="3"/>
  <c r="Y1059" i="3"/>
  <c r="H1061" i="3"/>
  <c r="W1060" i="3"/>
  <c r="X1060" i="3"/>
  <c r="Y1060" i="3"/>
  <c r="H1062" i="3"/>
  <c r="W1061" i="3"/>
  <c r="X1061" i="3"/>
  <c r="Y1061" i="3"/>
  <c r="H1063" i="3"/>
  <c r="W1062" i="3"/>
  <c r="X1062" i="3"/>
  <c r="Y1062" i="3"/>
  <c r="H1064" i="3"/>
  <c r="W1063" i="3"/>
  <c r="X1063" i="3"/>
  <c r="Y1063" i="3"/>
  <c r="H1065" i="3"/>
  <c r="W1064" i="3"/>
  <c r="X1064" i="3"/>
  <c r="Y1064" i="3"/>
  <c r="H1066" i="3"/>
  <c r="W1065" i="3"/>
  <c r="X1065" i="3"/>
  <c r="Y1065" i="3"/>
  <c r="H1067" i="3"/>
  <c r="W1066" i="3"/>
  <c r="X1066" i="3"/>
  <c r="Y1066" i="3"/>
  <c r="H1068" i="3"/>
  <c r="W1067" i="3"/>
  <c r="X1067" i="3"/>
  <c r="Y1067" i="3"/>
  <c r="H1069" i="3"/>
  <c r="W1068" i="3"/>
  <c r="X1068" i="3"/>
  <c r="Y1068" i="3"/>
  <c r="H1070" i="3"/>
  <c r="W1069" i="3"/>
  <c r="X1069" i="3"/>
  <c r="Y1069" i="3"/>
  <c r="H1071" i="3"/>
  <c r="W1070" i="3"/>
  <c r="X1070" i="3"/>
  <c r="Y1070" i="3"/>
  <c r="H1072" i="3"/>
  <c r="W1071" i="3"/>
  <c r="X1071" i="3"/>
  <c r="Y1071" i="3"/>
  <c r="H1073" i="3"/>
  <c r="W1072" i="3"/>
  <c r="X1072" i="3"/>
  <c r="Y1072" i="3"/>
  <c r="H1074" i="3"/>
  <c r="W1073" i="3"/>
  <c r="X1073" i="3"/>
  <c r="Y1073" i="3"/>
  <c r="W1074" i="3"/>
  <c r="X1074" i="3"/>
  <c r="Y1074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3" i="3"/>
  <c r="G3" i="3"/>
  <c r="F3" i="3"/>
  <c r="G4" i="3"/>
  <c r="F4" i="3"/>
  <c r="G5" i="3"/>
  <c r="F5" i="3"/>
  <c r="N6" i="3"/>
  <c r="N7" i="3"/>
  <c r="N8" i="3"/>
  <c r="N9" i="3"/>
  <c r="N10" i="3"/>
  <c r="G11" i="3"/>
  <c r="F11" i="3"/>
  <c r="N11" i="3"/>
  <c r="N12" i="3"/>
  <c r="N13" i="3"/>
  <c r="N14" i="3"/>
  <c r="N15" i="3"/>
  <c r="N16" i="3"/>
  <c r="N17" i="3"/>
  <c r="G18" i="3"/>
  <c r="F18" i="3"/>
  <c r="N18" i="3"/>
  <c r="N19" i="3"/>
  <c r="N20" i="3"/>
  <c r="N21" i="3"/>
  <c r="N22" i="3"/>
  <c r="N23" i="3"/>
  <c r="N24" i="3"/>
  <c r="G25" i="3"/>
  <c r="F25" i="3"/>
  <c r="N25" i="3"/>
  <c r="N26" i="3"/>
  <c r="N27" i="3"/>
  <c r="N28" i="3"/>
  <c r="N29" i="3"/>
  <c r="N30" i="3"/>
  <c r="N31" i="3"/>
  <c r="G32" i="3"/>
  <c r="F32" i="3"/>
  <c r="N32" i="3"/>
  <c r="N33" i="3"/>
  <c r="N34" i="3"/>
  <c r="N35" i="3"/>
  <c r="N36" i="3"/>
  <c r="N37" i="3"/>
  <c r="N38" i="3"/>
  <c r="G39" i="3"/>
  <c r="F39" i="3"/>
  <c r="N39" i="3"/>
  <c r="N40" i="3"/>
  <c r="G41" i="3"/>
  <c r="F41" i="3"/>
  <c r="N41" i="3"/>
  <c r="N42" i="3"/>
  <c r="G43" i="3"/>
  <c r="F43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Q4" i="3"/>
  <c r="U4" i="3"/>
  <c r="E6" i="3"/>
  <c r="E7" i="3"/>
  <c r="E8" i="3"/>
  <c r="E9" i="3"/>
  <c r="E10" i="3"/>
  <c r="E11" i="3"/>
  <c r="Q5" i="3"/>
  <c r="U5" i="3"/>
  <c r="E12" i="3"/>
  <c r="E13" i="3"/>
  <c r="E14" i="3"/>
  <c r="E15" i="3"/>
  <c r="E16" i="3"/>
  <c r="E17" i="3"/>
  <c r="E18" i="3"/>
  <c r="Q6" i="3"/>
  <c r="U6" i="3"/>
  <c r="E19" i="3"/>
  <c r="E20" i="3"/>
  <c r="E21" i="3"/>
  <c r="E22" i="3"/>
  <c r="E23" i="3"/>
  <c r="E24" i="3"/>
  <c r="E25" i="3"/>
  <c r="Q7" i="3"/>
  <c r="U7" i="3"/>
  <c r="E26" i="3"/>
  <c r="E27" i="3"/>
  <c r="E28" i="3"/>
  <c r="E29" i="3"/>
  <c r="E30" i="3"/>
  <c r="E31" i="3"/>
  <c r="E32" i="3"/>
  <c r="Q8" i="3"/>
  <c r="U8" i="3"/>
  <c r="E33" i="3"/>
  <c r="E34" i="3"/>
  <c r="E35" i="3"/>
  <c r="E36" i="3"/>
  <c r="E37" i="3"/>
  <c r="E38" i="3"/>
  <c r="E39" i="3"/>
  <c r="Q9" i="3"/>
  <c r="U9" i="3"/>
  <c r="E40" i="3"/>
  <c r="E41" i="3"/>
  <c r="Q10" i="3"/>
  <c r="U10" i="3"/>
  <c r="E42" i="3"/>
  <c r="E43" i="3"/>
  <c r="Q11" i="3"/>
  <c r="U11" i="3"/>
  <c r="Q12" i="3"/>
  <c r="U12" i="3"/>
  <c r="Q13" i="3"/>
  <c r="U13" i="3"/>
  <c r="Q14" i="3"/>
  <c r="U14" i="3"/>
  <c r="Q15" i="3"/>
  <c r="U15" i="3"/>
  <c r="Q16" i="3"/>
  <c r="U16" i="3"/>
  <c r="Q17" i="3"/>
  <c r="U17" i="3"/>
  <c r="Q18" i="3"/>
  <c r="U18" i="3"/>
  <c r="Q19" i="3"/>
  <c r="U19" i="3"/>
  <c r="Q20" i="3"/>
  <c r="U20" i="3"/>
  <c r="Q21" i="3"/>
  <c r="U21" i="3"/>
  <c r="Q22" i="3"/>
  <c r="U22" i="3"/>
  <c r="Q23" i="3"/>
  <c r="U23" i="3"/>
  <c r="Q24" i="3"/>
  <c r="U24" i="3"/>
  <c r="Q25" i="3"/>
  <c r="U25" i="3"/>
  <c r="Q26" i="3"/>
  <c r="U26" i="3"/>
  <c r="Q27" i="3"/>
  <c r="U27" i="3"/>
  <c r="Q28" i="3"/>
  <c r="U28" i="3"/>
  <c r="Q29" i="3"/>
  <c r="U29" i="3"/>
  <c r="Q30" i="3"/>
  <c r="U30" i="3"/>
  <c r="Q31" i="3"/>
  <c r="U31" i="3"/>
  <c r="Q32" i="3"/>
  <c r="U32" i="3"/>
  <c r="Q33" i="3"/>
  <c r="U33" i="3"/>
  <c r="Q34" i="3"/>
  <c r="U34" i="3"/>
  <c r="Q35" i="3"/>
  <c r="U35" i="3"/>
  <c r="Q36" i="3"/>
  <c r="U36" i="3"/>
  <c r="Q37" i="3"/>
  <c r="U37" i="3"/>
  <c r="Q38" i="3"/>
  <c r="U38" i="3"/>
  <c r="Q39" i="3"/>
  <c r="U39" i="3"/>
  <c r="Q40" i="3"/>
  <c r="U40" i="3"/>
  <c r="Q41" i="3"/>
  <c r="U41" i="3"/>
  <c r="Q42" i="3"/>
  <c r="U42" i="3"/>
  <c r="Q43" i="3"/>
  <c r="U43" i="3"/>
  <c r="Q44" i="3"/>
  <c r="U44" i="3"/>
  <c r="Q45" i="3"/>
  <c r="U45" i="3"/>
  <c r="Q46" i="3"/>
  <c r="U46" i="3"/>
  <c r="Q47" i="3"/>
  <c r="U47" i="3"/>
  <c r="Q48" i="3"/>
  <c r="U48" i="3"/>
  <c r="Q49" i="3"/>
  <c r="U49" i="3"/>
  <c r="Q50" i="3"/>
  <c r="U50" i="3"/>
  <c r="Q51" i="3"/>
  <c r="U51" i="3"/>
  <c r="Q52" i="3"/>
  <c r="U52" i="3"/>
  <c r="Q53" i="3"/>
  <c r="U53" i="3"/>
  <c r="Q54" i="3"/>
  <c r="U54" i="3"/>
  <c r="Q55" i="3"/>
  <c r="U55" i="3"/>
  <c r="Q56" i="3"/>
  <c r="U56" i="3"/>
  <c r="Q57" i="3"/>
  <c r="U57" i="3"/>
  <c r="Q58" i="3"/>
  <c r="U58" i="3"/>
  <c r="Q59" i="3"/>
  <c r="U59" i="3"/>
  <c r="Q60" i="3"/>
  <c r="U60" i="3"/>
  <c r="Q61" i="3"/>
  <c r="U61" i="3"/>
  <c r="Q62" i="3"/>
  <c r="U62" i="3"/>
  <c r="Q63" i="3"/>
  <c r="U63" i="3"/>
  <c r="Q64" i="3"/>
  <c r="U64" i="3"/>
  <c r="Q65" i="3"/>
  <c r="U65" i="3"/>
  <c r="Q66" i="3"/>
  <c r="U66" i="3"/>
  <c r="Q67" i="3"/>
  <c r="U67" i="3"/>
  <c r="Q68" i="3"/>
  <c r="U68" i="3"/>
  <c r="Q69" i="3"/>
  <c r="U69" i="3"/>
  <c r="Q70" i="3"/>
  <c r="U70" i="3"/>
  <c r="Q71" i="3"/>
  <c r="U71" i="3"/>
  <c r="Q72" i="3"/>
  <c r="U72" i="3"/>
  <c r="Q73" i="3"/>
  <c r="U73" i="3"/>
  <c r="Q74" i="3"/>
  <c r="U74" i="3"/>
  <c r="Q75" i="3"/>
  <c r="U75" i="3"/>
  <c r="Q76" i="3"/>
  <c r="U76" i="3"/>
  <c r="Q77" i="3"/>
  <c r="U77" i="3"/>
  <c r="Q78" i="3"/>
  <c r="U78" i="3"/>
  <c r="Q79" i="3"/>
  <c r="U79" i="3"/>
  <c r="Q80" i="3"/>
  <c r="U80" i="3"/>
  <c r="Q81" i="3"/>
  <c r="U81" i="3"/>
  <c r="Q82" i="3"/>
  <c r="U82" i="3"/>
  <c r="Q83" i="3"/>
  <c r="U83" i="3"/>
  <c r="Q84" i="3"/>
  <c r="U84" i="3"/>
  <c r="Q85" i="3"/>
  <c r="U85" i="3"/>
  <c r="Q86" i="3"/>
  <c r="U86" i="3"/>
  <c r="Q87" i="3"/>
  <c r="U87" i="3"/>
  <c r="Q88" i="3"/>
  <c r="U88" i="3"/>
  <c r="Q89" i="3"/>
  <c r="U89" i="3"/>
  <c r="Q90" i="3"/>
  <c r="U90" i="3"/>
  <c r="Q91" i="3"/>
  <c r="U9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1" i="3"/>
  <c r="U101" i="3"/>
  <c r="Q102" i="3"/>
  <c r="U102" i="3"/>
  <c r="Q103" i="3"/>
  <c r="U103" i="3"/>
  <c r="Q104" i="3"/>
  <c r="U104" i="3"/>
  <c r="Q105" i="3"/>
  <c r="U105" i="3"/>
  <c r="Q106" i="3"/>
  <c r="U106" i="3"/>
  <c r="Q107" i="3"/>
  <c r="U107" i="3"/>
  <c r="Q108" i="3"/>
  <c r="U108" i="3"/>
  <c r="Q109" i="3"/>
  <c r="U109" i="3"/>
  <c r="Q110" i="3"/>
  <c r="U110" i="3"/>
  <c r="Q111" i="3"/>
  <c r="U111" i="3"/>
  <c r="Q112" i="3"/>
  <c r="U112" i="3"/>
  <c r="Q113" i="3"/>
  <c r="U113" i="3"/>
  <c r="Q114" i="3"/>
  <c r="U114" i="3"/>
  <c r="Q115" i="3"/>
  <c r="U115" i="3"/>
  <c r="Q116" i="3"/>
  <c r="U116" i="3"/>
  <c r="Q117" i="3"/>
  <c r="U117" i="3"/>
  <c r="Q118" i="3"/>
  <c r="U118" i="3"/>
  <c r="Q119" i="3"/>
  <c r="U119" i="3"/>
  <c r="Q120" i="3"/>
  <c r="U120" i="3"/>
  <c r="Q121" i="3"/>
  <c r="U121" i="3"/>
  <c r="Q122" i="3"/>
  <c r="U122" i="3"/>
  <c r="Q123" i="3"/>
  <c r="U123" i="3"/>
  <c r="Q124" i="3"/>
  <c r="U124" i="3"/>
  <c r="Q125" i="3"/>
  <c r="U125" i="3"/>
  <c r="Q126" i="3"/>
  <c r="U126" i="3"/>
  <c r="Q127" i="3"/>
  <c r="U127" i="3"/>
  <c r="Q128" i="3"/>
  <c r="U128" i="3"/>
  <c r="Q129" i="3"/>
  <c r="U129" i="3"/>
  <c r="Q130" i="3"/>
  <c r="U130" i="3"/>
  <c r="Q131" i="3"/>
  <c r="U131" i="3"/>
  <c r="Q132" i="3"/>
  <c r="U132" i="3"/>
  <c r="Q133" i="3"/>
  <c r="U133" i="3"/>
  <c r="Q134" i="3"/>
  <c r="U134" i="3"/>
  <c r="Q135" i="3"/>
  <c r="U135" i="3"/>
  <c r="Q136" i="3"/>
  <c r="U136" i="3"/>
  <c r="Q137" i="3"/>
  <c r="U137" i="3"/>
  <c r="Q138" i="3"/>
  <c r="U138" i="3"/>
  <c r="Q139" i="3"/>
  <c r="U139" i="3"/>
  <c r="Q140" i="3"/>
  <c r="U140" i="3"/>
  <c r="Q141" i="3"/>
  <c r="U141" i="3"/>
  <c r="Q142" i="3"/>
  <c r="U142" i="3"/>
  <c r="Q143" i="3"/>
  <c r="U143" i="3"/>
  <c r="Q144" i="3"/>
  <c r="U144" i="3"/>
  <c r="Q145" i="3"/>
  <c r="U145" i="3"/>
  <c r="Q146" i="3"/>
  <c r="U146" i="3"/>
  <c r="Q147" i="3"/>
  <c r="U147" i="3"/>
  <c r="Q148" i="3"/>
  <c r="U148" i="3"/>
  <c r="Q149" i="3"/>
  <c r="U149" i="3"/>
  <c r="Q150" i="3"/>
  <c r="U150" i="3"/>
  <c r="Q151" i="3"/>
  <c r="U151" i="3"/>
  <c r="Q152" i="3"/>
  <c r="U152" i="3"/>
  <c r="Q153" i="3"/>
  <c r="U153" i="3"/>
  <c r="Q154" i="3"/>
  <c r="U154" i="3"/>
  <c r="Q155" i="3"/>
  <c r="U155" i="3"/>
  <c r="Q156" i="3"/>
  <c r="U156" i="3"/>
  <c r="Q157" i="3"/>
  <c r="U157" i="3"/>
  <c r="Q158" i="3"/>
  <c r="U158" i="3"/>
  <c r="Q159" i="3"/>
  <c r="U159" i="3"/>
  <c r="Q160" i="3"/>
  <c r="U160" i="3"/>
  <c r="Q161" i="3"/>
  <c r="U161" i="3"/>
  <c r="Q162" i="3"/>
  <c r="U162" i="3"/>
  <c r="Q163" i="3"/>
  <c r="U163" i="3"/>
  <c r="Q164" i="3"/>
  <c r="U164" i="3"/>
  <c r="Q165" i="3"/>
  <c r="U165" i="3"/>
  <c r="Q166" i="3"/>
  <c r="U166" i="3"/>
  <c r="Q167" i="3"/>
  <c r="U167" i="3"/>
  <c r="Q168" i="3"/>
  <c r="U168" i="3"/>
  <c r="Q169" i="3"/>
  <c r="U169" i="3"/>
  <c r="Q170" i="3"/>
  <c r="U170" i="3"/>
  <c r="Q171" i="3"/>
  <c r="U171" i="3"/>
  <c r="Q172" i="3"/>
  <c r="U172" i="3"/>
  <c r="Q173" i="3"/>
  <c r="U173" i="3"/>
  <c r="Q174" i="3"/>
  <c r="U174" i="3"/>
  <c r="Q175" i="3"/>
  <c r="U175" i="3"/>
  <c r="Q176" i="3"/>
  <c r="U176" i="3"/>
  <c r="Q177" i="3"/>
  <c r="U177" i="3"/>
  <c r="Q178" i="3"/>
  <c r="U178" i="3"/>
  <c r="Q179" i="3"/>
  <c r="U179" i="3"/>
  <c r="Q180" i="3"/>
  <c r="U180" i="3"/>
  <c r="Q181" i="3"/>
  <c r="U181" i="3"/>
  <c r="Q182" i="3"/>
  <c r="U182" i="3"/>
  <c r="Q183" i="3"/>
  <c r="U183" i="3"/>
  <c r="Q184" i="3"/>
  <c r="U184" i="3"/>
  <c r="Q185" i="3"/>
  <c r="U185" i="3"/>
  <c r="Q186" i="3"/>
  <c r="U186" i="3"/>
  <c r="Q187" i="3"/>
  <c r="U187" i="3"/>
  <c r="Q188" i="3"/>
  <c r="U188" i="3"/>
  <c r="Q189" i="3"/>
  <c r="U189" i="3"/>
  <c r="Q190" i="3"/>
  <c r="U190" i="3"/>
  <c r="Q191" i="3"/>
  <c r="U191" i="3"/>
  <c r="Q192" i="3"/>
  <c r="U192" i="3"/>
  <c r="Q193" i="3"/>
  <c r="U193" i="3"/>
  <c r="Q194" i="3"/>
  <c r="U194" i="3"/>
  <c r="Q195" i="3"/>
  <c r="U195" i="3"/>
  <c r="Q196" i="3"/>
  <c r="U196" i="3"/>
  <c r="Q197" i="3"/>
  <c r="U197" i="3"/>
  <c r="Q198" i="3"/>
  <c r="U198" i="3"/>
  <c r="Q199" i="3"/>
  <c r="U199" i="3"/>
  <c r="Q200" i="3"/>
  <c r="U200" i="3"/>
  <c r="Q201" i="3"/>
  <c r="U201" i="3"/>
  <c r="Q202" i="3"/>
  <c r="U202" i="3"/>
  <c r="Q203" i="3"/>
  <c r="U203" i="3"/>
  <c r="Q204" i="3"/>
  <c r="U204" i="3"/>
  <c r="Q205" i="3"/>
  <c r="U205" i="3"/>
  <c r="Q206" i="3"/>
  <c r="U206" i="3"/>
  <c r="Q207" i="3"/>
  <c r="U207" i="3"/>
  <c r="Q208" i="3"/>
  <c r="U208" i="3"/>
  <c r="Q209" i="3"/>
  <c r="U209" i="3"/>
  <c r="Q210" i="3"/>
  <c r="U210" i="3"/>
  <c r="Q211" i="3"/>
  <c r="U211" i="3"/>
  <c r="Q212" i="3"/>
  <c r="U212" i="3"/>
  <c r="Q213" i="3"/>
  <c r="U213" i="3"/>
  <c r="Q214" i="3"/>
  <c r="U214" i="3"/>
  <c r="Q215" i="3"/>
  <c r="U215" i="3"/>
  <c r="Q216" i="3"/>
  <c r="U216" i="3"/>
  <c r="Q217" i="3"/>
  <c r="U217" i="3"/>
  <c r="Q218" i="3"/>
  <c r="U218" i="3"/>
  <c r="Q219" i="3"/>
  <c r="U219" i="3"/>
  <c r="Q220" i="3"/>
  <c r="U220" i="3"/>
  <c r="Q221" i="3"/>
  <c r="U221" i="3"/>
  <c r="Q222" i="3"/>
  <c r="U222" i="3"/>
  <c r="Q223" i="3"/>
  <c r="U223" i="3"/>
  <c r="Q224" i="3"/>
  <c r="U224" i="3"/>
  <c r="Q225" i="3"/>
  <c r="U225" i="3"/>
  <c r="Q226" i="3"/>
  <c r="U226" i="3"/>
  <c r="Q227" i="3"/>
  <c r="U227" i="3"/>
  <c r="Q228" i="3"/>
  <c r="U228" i="3"/>
  <c r="Q229" i="3"/>
  <c r="U229" i="3"/>
  <c r="Q230" i="3"/>
  <c r="U230" i="3"/>
  <c r="Q231" i="3"/>
  <c r="U231" i="3"/>
  <c r="Q232" i="3"/>
  <c r="U232" i="3"/>
  <c r="Q233" i="3"/>
  <c r="U233" i="3"/>
  <c r="Q234" i="3"/>
  <c r="U234" i="3"/>
  <c r="Q235" i="3"/>
  <c r="U235" i="3"/>
  <c r="Q236" i="3"/>
  <c r="U236" i="3"/>
  <c r="Q237" i="3"/>
  <c r="U237" i="3"/>
  <c r="Q238" i="3"/>
  <c r="U238" i="3"/>
  <c r="Q239" i="3"/>
  <c r="U239" i="3"/>
  <c r="Q240" i="3"/>
  <c r="U240" i="3"/>
  <c r="Q241" i="3"/>
  <c r="U241" i="3"/>
  <c r="Q242" i="3"/>
  <c r="U242" i="3"/>
  <c r="Q243" i="3"/>
  <c r="U243" i="3"/>
  <c r="Q244" i="3"/>
  <c r="U244" i="3"/>
  <c r="Q245" i="3"/>
  <c r="U245" i="3"/>
  <c r="Q246" i="3"/>
  <c r="U246" i="3"/>
  <c r="Q247" i="3"/>
  <c r="U247" i="3"/>
  <c r="Q248" i="3"/>
  <c r="U248" i="3"/>
  <c r="Q249" i="3"/>
  <c r="U249" i="3"/>
  <c r="Q250" i="3"/>
  <c r="U250" i="3"/>
  <c r="Q251" i="3"/>
  <c r="U251" i="3"/>
  <c r="Q252" i="3"/>
  <c r="U252" i="3"/>
  <c r="Q253" i="3"/>
  <c r="U253" i="3"/>
  <c r="Q254" i="3"/>
  <c r="U254" i="3"/>
  <c r="Q255" i="3"/>
  <c r="U255" i="3"/>
  <c r="Q256" i="3"/>
  <c r="U256" i="3"/>
  <c r="Q257" i="3"/>
  <c r="U257" i="3"/>
  <c r="Q258" i="3"/>
  <c r="U258" i="3"/>
  <c r="Q259" i="3"/>
  <c r="U259" i="3"/>
  <c r="Q260" i="3"/>
  <c r="U260" i="3"/>
  <c r="Q261" i="3"/>
  <c r="U261" i="3"/>
  <c r="Q262" i="3"/>
  <c r="U262" i="3"/>
  <c r="Q263" i="3"/>
  <c r="U263" i="3"/>
  <c r="Q264" i="3"/>
  <c r="U264" i="3"/>
  <c r="Q265" i="3"/>
  <c r="U265" i="3"/>
  <c r="Q266" i="3"/>
  <c r="U266" i="3"/>
  <c r="Q267" i="3"/>
  <c r="U267" i="3"/>
  <c r="Q268" i="3"/>
  <c r="U268" i="3"/>
  <c r="Q269" i="3"/>
  <c r="U269" i="3"/>
  <c r="Q270" i="3"/>
  <c r="U270" i="3"/>
  <c r="Q271" i="3"/>
  <c r="U271" i="3"/>
  <c r="Q272" i="3"/>
  <c r="U272" i="3"/>
  <c r="Q273" i="3"/>
  <c r="U273" i="3"/>
  <c r="Q274" i="3"/>
  <c r="U274" i="3"/>
  <c r="Q275" i="3"/>
  <c r="U275" i="3"/>
  <c r="Q276" i="3"/>
  <c r="U276" i="3"/>
  <c r="Q277" i="3"/>
  <c r="U277" i="3"/>
  <c r="Q278" i="3"/>
  <c r="U278" i="3"/>
  <c r="Q279" i="3"/>
  <c r="U279" i="3"/>
  <c r="Q280" i="3"/>
  <c r="U280" i="3"/>
  <c r="Q281" i="3"/>
  <c r="U281" i="3"/>
  <c r="Q282" i="3"/>
  <c r="U282" i="3"/>
  <c r="Q283" i="3"/>
  <c r="U283" i="3"/>
  <c r="Q284" i="3"/>
  <c r="U284" i="3"/>
  <c r="Q285" i="3"/>
  <c r="U285" i="3"/>
  <c r="Q286" i="3"/>
  <c r="U286" i="3"/>
  <c r="Q287" i="3"/>
  <c r="U287" i="3"/>
  <c r="Q288" i="3"/>
  <c r="U288" i="3"/>
  <c r="Q289" i="3"/>
  <c r="U289" i="3"/>
  <c r="Q290" i="3"/>
  <c r="U290" i="3"/>
  <c r="Q291" i="3"/>
  <c r="U291" i="3"/>
  <c r="Q292" i="3"/>
  <c r="U292" i="3"/>
  <c r="Q293" i="3"/>
  <c r="U293" i="3"/>
  <c r="Q294" i="3"/>
  <c r="U294" i="3"/>
  <c r="Q295" i="3"/>
  <c r="U295" i="3"/>
  <c r="Q296" i="3"/>
  <c r="U296" i="3"/>
  <c r="Q297" i="3"/>
  <c r="U297" i="3"/>
  <c r="Q298" i="3"/>
  <c r="U298" i="3"/>
  <c r="Q299" i="3"/>
  <c r="U299" i="3"/>
  <c r="Q300" i="3"/>
  <c r="U300" i="3"/>
  <c r="Q301" i="3"/>
  <c r="U301" i="3"/>
  <c r="Q302" i="3"/>
  <c r="U302" i="3"/>
  <c r="Q303" i="3"/>
  <c r="U303" i="3"/>
  <c r="Q304" i="3"/>
  <c r="U304" i="3"/>
  <c r="Q305" i="3"/>
  <c r="U305" i="3"/>
  <c r="Q306" i="3"/>
  <c r="U306" i="3"/>
  <c r="Q307" i="3"/>
  <c r="U307" i="3"/>
  <c r="Q308" i="3"/>
  <c r="U308" i="3"/>
  <c r="Q309" i="3"/>
  <c r="U309" i="3"/>
  <c r="Q310" i="3"/>
  <c r="U310" i="3"/>
  <c r="Q311" i="3"/>
  <c r="U311" i="3"/>
  <c r="Q312" i="3"/>
  <c r="U312" i="3"/>
  <c r="Q313" i="3"/>
  <c r="U313" i="3"/>
  <c r="Q314" i="3"/>
  <c r="U314" i="3"/>
  <c r="Q315" i="3"/>
  <c r="U315" i="3"/>
  <c r="Q316" i="3"/>
  <c r="U316" i="3"/>
  <c r="Q317" i="3"/>
  <c r="U317" i="3"/>
  <c r="Q318" i="3"/>
  <c r="U318" i="3"/>
  <c r="Q319" i="3"/>
  <c r="U319" i="3"/>
  <c r="Q320" i="3"/>
  <c r="U320" i="3"/>
  <c r="Q321" i="3"/>
  <c r="U321" i="3"/>
  <c r="Q322" i="3"/>
  <c r="U322" i="3"/>
  <c r="Q323" i="3"/>
  <c r="U323" i="3"/>
  <c r="Q324" i="3"/>
  <c r="U324" i="3"/>
  <c r="Q325" i="3"/>
  <c r="U325" i="3"/>
  <c r="Q326" i="3"/>
  <c r="U326" i="3"/>
  <c r="Q327" i="3"/>
  <c r="U327" i="3"/>
  <c r="Q328" i="3"/>
  <c r="U328" i="3"/>
  <c r="Q329" i="3"/>
  <c r="U329" i="3"/>
  <c r="Q330" i="3"/>
  <c r="U330" i="3"/>
  <c r="Q331" i="3"/>
  <c r="U331" i="3"/>
  <c r="Q332" i="3"/>
  <c r="U332" i="3"/>
  <c r="Q333" i="3"/>
  <c r="U333" i="3"/>
  <c r="Q334" i="3"/>
  <c r="U334" i="3"/>
  <c r="Q335" i="3"/>
  <c r="U335" i="3"/>
  <c r="Q336" i="3"/>
  <c r="U336" i="3"/>
  <c r="Q337" i="3"/>
  <c r="U337" i="3"/>
  <c r="Q338" i="3"/>
  <c r="U338" i="3"/>
  <c r="Q339" i="3"/>
  <c r="U339" i="3"/>
  <c r="Q340" i="3"/>
  <c r="U340" i="3"/>
  <c r="Q341" i="3"/>
  <c r="U341" i="3"/>
  <c r="Q342" i="3"/>
  <c r="U342" i="3"/>
  <c r="Q343" i="3"/>
  <c r="U343" i="3"/>
  <c r="Q344" i="3"/>
  <c r="U344" i="3"/>
  <c r="Q345" i="3"/>
  <c r="U345" i="3"/>
  <c r="Q346" i="3"/>
  <c r="U346" i="3"/>
  <c r="Q347" i="3"/>
  <c r="U347" i="3"/>
  <c r="Q348" i="3"/>
  <c r="U348" i="3"/>
  <c r="Q349" i="3"/>
  <c r="U349" i="3"/>
  <c r="Q350" i="3"/>
  <c r="U350" i="3"/>
  <c r="Q351" i="3"/>
  <c r="U351" i="3"/>
  <c r="Q352" i="3"/>
  <c r="U352" i="3"/>
  <c r="Q353" i="3"/>
  <c r="U353" i="3"/>
  <c r="Q354" i="3"/>
  <c r="U354" i="3"/>
  <c r="Q355" i="3"/>
  <c r="U355" i="3"/>
  <c r="Q356" i="3"/>
  <c r="U356" i="3"/>
  <c r="Q357" i="3"/>
  <c r="U357" i="3"/>
  <c r="Q358" i="3"/>
  <c r="U358" i="3"/>
  <c r="Q359" i="3"/>
  <c r="U359" i="3"/>
  <c r="Q360" i="3"/>
  <c r="U360" i="3"/>
  <c r="Q361" i="3"/>
  <c r="U361" i="3"/>
  <c r="Q362" i="3"/>
  <c r="U362" i="3"/>
  <c r="Q363" i="3"/>
  <c r="U363" i="3"/>
  <c r="Q364" i="3"/>
  <c r="U364" i="3"/>
  <c r="Q365" i="3"/>
  <c r="U365" i="3"/>
  <c r="Q366" i="3"/>
  <c r="U366" i="3"/>
  <c r="Q367" i="3"/>
  <c r="U367" i="3"/>
  <c r="Q368" i="3"/>
  <c r="U368" i="3"/>
  <c r="Q369" i="3"/>
  <c r="U369" i="3"/>
  <c r="Q370" i="3"/>
  <c r="U370" i="3"/>
  <c r="Q371" i="3"/>
  <c r="U371" i="3"/>
  <c r="Q372" i="3"/>
  <c r="U372" i="3"/>
  <c r="Q373" i="3"/>
  <c r="U373" i="3"/>
  <c r="Q374" i="3"/>
  <c r="U374" i="3"/>
  <c r="Q375" i="3"/>
  <c r="U375" i="3"/>
  <c r="Q376" i="3"/>
  <c r="U376" i="3"/>
  <c r="Q377" i="3"/>
  <c r="U377" i="3"/>
  <c r="Q378" i="3"/>
  <c r="U378" i="3"/>
  <c r="Q379" i="3"/>
  <c r="U379" i="3"/>
  <c r="Q380" i="3"/>
  <c r="U380" i="3"/>
  <c r="Q381" i="3"/>
  <c r="U381" i="3"/>
  <c r="Q382" i="3"/>
  <c r="U382" i="3"/>
  <c r="Q383" i="3"/>
  <c r="U383" i="3"/>
  <c r="Q384" i="3"/>
  <c r="U384" i="3"/>
  <c r="Q385" i="3"/>
  <c r="U385" i="3"/>
  <c r="Q386" i="3"/>
  <c r="U386" i="3"/>
  <c r="Q387" i="3"/>
  <c r="U387" i="3"/>
  <c r="Q388" i="3"/>
  <c r="U388" i="3"/>
  <c r="Q389" i="3"/>
  <c r="U389" i="3"/>
  <c r="Q390" i="3"/>
  <c r="U390" i="3"/>
  <c r="Q391" i="3"/>
  <c r="U391" i="3"/>
  <c r="Q392" i="3"/>
  <c r="U392" i="3"/>
  <c r="Q393" i="3"/>
  <c r="U393" i="3"/>
  <c r="Q394" i="3"/>
  <c r="U394" i="3"/>
  <c r="Q395" i="3"/>
  <c r="U395" i="3"/>
  <c r="Q396" i="3"/>
  <c r="U396" i="3"/>
  <c r="Q397" i="3"/>
  <c r="U397" i="3"/>
  <c r="Q398" i="3"/>
  <c r="U398" i="3"/>
  <c r="Q399" i="3"/>
  <c r="U399" i="3"/>
  <c r="Q400" i="3"/>
  <c r="U400" i="3"/>
  <c r="Q401" i="3"/>
  <c r="U401" i="3"/>
  <c r="Q402" i="3"/>
  <c r="U402" i="3"/>
  <c r="Q403" i="3"/>
  <c r="U403" i="3"/>
  <c r="Q404" i="3"/>
  <c r="U404" i="3"/>
  <c r="Q405" i="3"/>
  <c r="U405" i="3"/>
  <c r="Q406" i="3"/>
  <c r="U406" i="3"/>
  <c r="Q407" i="3"/>
  <c r="U407" i="3"/>
  <c r="Q408" i="3"/>
  <c r="U408" i="3"/>
  <c r="Q409" i="3"/>
  <c r="U409" i="3"/>
  <c r="Q410" i="3"/>
  <c r="U410" i="3"/>
  <c r="Q411" i="3"/>
  <c r="U411" i="3"/>
  <c r="Q412" i="3"/>
  <c r="U412" i="3"/>
  <c r="Q413" i="3"/>
  <c r="U413" i="3"/>
  <c r="Q414" i="3"/>
  <c r="U414" i="3"/>
  <c r="Q415" i="3"/>
  <c r="U415" i="3"/>
  <c r="Q416" i="3"/>
  <c r="U416" i="3"/>
  <c r="Q417" i="3"/>
  <c r="U417" i="3"/>
  <c r="Q418" i="3"/>
  <c r="U418" i="3"/>
  <c r="Q419" i="3"/>
  <c r="U419" i="3"/>
  <c r="Q420" i="3"/>
  <c r="U420" i="3"/>
  <c r="Q421" i="3"/>
  <c r="U421" i="3"/>
  <c r="Q422" i="3"/>
  <c r="U422" i="3"/>
  <c r="Q423" i="3"/>
  <c r="U423" i="3"/>
  <c r="Q424" i="3"/>
  <c r="U424" i="3"/>
  <c r="Q425" i="3"/>
  <c r="U425" i="3"/>
  <c r="Q426" i="3"/>
  <c r="U426" i="3"/>
  <c r="Q427" i="3"/>
  <c r="U427" i="3"/>
  <c r="Q428" i="3"/>
  <c r="U428" i="3"/>
  <c r="Q429" i="3"/>
  <c r="U429" i="3"/>
  <c r="Q430" i="3"/>
  <c r="U430" i="3"/>
  <c r="Q431" i="3"/>
  <c r="U431" i="3"/>
  <c r="Q432" i="3"/>
  <c r="U432" i="3"/>
  <c r="Q433" i="3"/>
  <c r="U433" i="3"/>
  <c r="Q434" i="3"/>
  <c r="U434" i="3"/>
  <c r="Q435" i="3"/>
  <c r="U435" i="3"/>
  <c r="Q436" i="3"/>
  <c r="U436" i="3"/>
  <c r="Q437" i="3"/>
  <c r="U437" i="3"/>
  <c r="Q438" i="3"/>
  <c r="U438" i="3"/>
  <c r="Q439" i="3"/>
  <c r="U439" i="3"/>
  <c r="Q440" i="3"/>
  <c r="U440" i="3"/>
  <c r="Q441" i="3"/>
  <c r="U441" i="3"/>
  <c r="Q442" i="3"/>
  <c r="U442" i="3"/>
  <c r="Q443" i="3"/>
  <c r="U443" i="3"/>
  <c r="Q444" i="3"/>
  <c r="U444" i="3"/>
  <c r="Q445" i="3"/>
  <c r="U445" i="3"/>
  <c r="Q446" i="3"/>
  <c r="U446" i="3"/>
  <c r="Q447" i="3"/>
  <c r="U447" i="3"/>
  <c r="Q448" i="3"/>
  <c r="U448" i="3"/>
  <c r="Q449" i="3"/>
  <c r="U449" i="3"/>
  <c r="Q450" i="3"/>
  <c r="U450" i="3"/>
  <c r="Q451" i="3"/>
  <c r="U451" i="3"/>
  <c r="Q452" i="3"/>
  <c r="U452" i="3"/>
  <c r="Q453" i="3"/>
  <c r="U453" i="3"/>
  <c r="Q454" i="3"/>
  <c r="U454" i="3"/>
  <c r="Q455" i="3"/>
  <c r="U455" i="3"/>
  <c r="Q456" i="3"/>
  <c r="U456" i="3"/>
  <c r="Q457" i="3"/>
  <c r="U457" i="3"/>
  <c r="Q458" i="3"/>
  <c r="U458" i="3"/>
  <c r="Q459" i="3"/>
  <c r="U459" i="3"/>
  <c r="Q460" i="3"/>
  <c r="U460" i="3"/>
  <c r="Q461" i="3"/>
  <c r="U461" i="3"/>
  <c r="Q462" i="3"/>
  <c r="U462" i="3"/>
  <c r="Q463" i="3"/>
  <c r="U463" i="3"/>
  <c r="Q464" i="3"/>
  <c r="U464" i="3"/>
  <c r="Q465" i="3"/>
  <c r="U465" i="3"/>
  <c r="Q466" i="3"/>
  <c r="U466" i="3"/>
  <c r="Q467" i="3"/>
  <c r="U467" i="3"/>
  <c r="Q468" i="3"/>
  <c r="U468" i="3"/>
  <c r="Q469" i="3"/>
  <c r="U469" i="3"/>
  <c r="Q470" i="3"/>
  <c r="U470" i="3"/>
  <c r="Q471" i="3"/>
  <c r="U471" i="3"/>
  <c r="Q472" i="3"/>
  <c r="U472" i="3"/>
  <c r="Q473" i="3"/>
  <c r="U473" i="3"/>
  <c r="Q474" i="3"/>
  <c r="U474" i="3"/>
  <c r="Q475" i="3"/>
  <c r="U475" i="3"/>
  <c r="Q476" i="3"/>
  <c r="U476" i="3"/>
  <c r="Q477" i="3"/>
  <c r="U477" i="3"/>
  <c r="Q478" i="3"/>
  <c r="U478" i="3"/>
  <c r="Q479" i="3"/>
  <c r="U479" i="3"/>
  <c r="Q480" i="3"/>
  <c r="U480" i="3"/>
  <c r="Q481" i="3"/>
  <c r="U481" i="3"/>
  <c r="Q482" i="3"/>
  <c r="U482" i="3"/>
  <c r="Q483" i="3"/>
  <c r="U483" i="3"/>
  <c r="Q484" i="3"/>
  <c r="U484" i="3"/>
  <c r="Q485" i="3"/>
  <c r="U485" i="3"/>
  <c r="Q486" i="3"/>
  <c r="U486" i="3"/>
  <c r="Q487" i="3"/>
  <c r="U487" i="3"/>
  <c r="Q488" i="3"/>
  <c r="U488" i="3"/>
  <c r="Q489" i="3"/>
  <c r="U489" i="3"/>
  <c r="Q490" i="3"/>
  <c r="U490" i="3"/>
  <c r="Q491" i="3"/>
  <c r="U491" i="3"/>
  <c r="Q492" i="3"/>
  <c r="U492" i="3"/>
  <c r="Q493" i="3"/>
  <c r="U493" i="3"/>
  <c r="Q494" i="3"/>
  <c r="U494" i="3"/>
  <c r="Q495" i="3"/>
  <c r="U495" i="3"/>
  <c r="Q496" i="3"/>
  <c r="U496" i="3"/>
  <c r="Q497" i="3"/>
  <c r="U497" i="3"/>
  <c r="Q498" i="3"/>
  <c r="U498" i="3"/>
  <c r="Q499" i="3"/>
  <c r="U499" i="3"/>
  <c r="Q500" i="3"/>
  <c r="U500" i="3"/>
  <c r="Q501" i="3"/>
  <c r="U501" i="3"/>
  <c r="Q502" i="3"/>
  <c r="U502" i="3"/>
  <c r="Q503" i="3"/>
  <c r="U503" i="3"/>
  <c r="Q504" i="3"/>
  <c r="U504" i="3"/>
  <c r="Q505" i="3"/>
  <c r="U505" i="3"/>
  <c r="Q506" i="3"/>
  <c r="U506" i="3"/>
  <c r="Q507" i="3"/>
  <c r="U507" i="3"/>
  <c r="Q508" i="3"/>
  <c r="U508" i="3"/>
  <c r="Q509" i="3"/>
  <c r="U509" i="3"/>
  <c r="Q510" i="3"/>
  <c r="U510" i="3"/>
  <c r="Q511" i="3"/>
  <c r="U511" i="3"/>
  <c r="Q512" i="3"/>
  <c r="U512" i="3"/>
  <c r="Q513" i="3"/>
  <c r="U513" i="3"/>
  <c r="Q514" i="3"/>
  <c r="U514" i="3"/>
  <c r="Q515" i="3"/>
  <c r="U515" i="3"/>
  <c r="Q516" i="3"/>
  <c r="U516" i="3"/>
  <c r="Q517" i="3"/>
  <c r="U517" i="3"/>
  <c r="Q518" i="3"/>
  <c r="U518" i="3"/>
  <c r="Q519" i="3"/>
  <c r="U519" i="3"/>
  <c r="Q520" i="3"/>
  <c r="U520" i="3"/>
  <c r="Q521" i="3"/>
  <c r="U521" i="3"/>
  <c r="Q522" i="3"/>
  <c r="U522" i="3"/>
  <c r="Q523" i="3"/>
  <c r="U523" i="3"/>
  <c r="Q524" i="3"/>
  <c r="U524" i="3"/>
  <c r="Q525" i="3"/>
  <c r="U525" i="3"/>
  <c r="Q526" i="3"/>
  <c r="U526" i="3"/>
  <c r="Q527" i="3"/>
  <c r="U527" i="3"/>
  <c r="Q528" i="3"/>
  <c r="U528" i="3"/>
  <c r="Q529" i="3"/>
  <c r="U529" i="3"/>
  <c r="Q530" i="3"/>
  <c r="U530" i="3"/>
  <c r="Q531" i="3"/>
  <c r="U531" i="3"/>
  <c r="Q532" i="3"/>
  <c r="U532" i="3"/>
  <c r="Q533" i="3"/>
  <c r="U533" i="3"/>
  <c r="Q534" i="3"/>
  <c r="U534" i="3"/>
  <c r="Q535" i="3"/>
  <c r="U535" i="3"/>
  <c r="Q536" i="3"/>
  <c r="U536" i="3"/>
  <c r="Q537" i="3"/>
  <c r="U537" i="3"/>
  <c r="Q538" i="3"/>
  <c r="U538" i="3"/>
  <c r="Q539" i="3"/>
  <c r="U539" i="3"/>
  <c r="Q540" i="3"/>
  <c r="U540" i="3"/>
  <c r="Q541" i="3"/>
  <c r="U541" i="3"/>
  <c r="Q542" i="3"/>
  <c r="U542" i="3"/>
  <c r="Q543" i="3"/>
  <c r="U543" i="3"/>
  <c r="Q544" i="3"/>
  <c r="U544" i="3"/>
  <c r="Q545" i="3"/>
  <c r="U545" i="3"/>
  <c r="Q546" i="3"/>
  <c r="U546" i="3"/>
  <c r="Q547" i="3"/>
  <c r="U547" i="3"/>
  <c r="Q548" i="3"/>
  <c r="U548" i="3"/>
  <c r="Q549" i="3"/>
  <c r="U549" i="3"/>
  <c r="Q550" i="3"/>
  <c r="U550" i="3"/>
  <c r="Q551" i="3"/>
  <c r="U551" i="3"/>
  <c r="Q552" i="3"/>
  <c r="U552" i="3"/>
  <c r="Q553" i="3"/>
  <c r="U553" i="3"/>
  <c r="Q554" i="3"/>
  <c r="U554" i="3"/>
  <c r="Q555" i="3"/>
  <c r="U555" i="3"/>
  <c r="Q556" i="3"/>
  <c r="U556" i="3"/>
  <c r="Q557" i="3"/>
  <c r="U557" i="3"/>
  <c r="Q558" i="3"/>
  <c r="U558" i="3"/>
  <c r="Q559" i="3"/>
  <c r="U559" i="3"/>
  <c r="Q560" i="3"/>
  <c r="U560" i="3"/>
  <c r="Q561" i="3"/>
  <c r="U561" i="3"/>
  <c r="Q562" i="3"/>
  <c r="U562" i="3"/>
  <c r="Q563" i="3"/>
  <c r="U563" i="3"/>
  <c r="Q564" i="3"/>
  <c r="U564" i="3"/>
  <c r="Q565" i="3"/>
  <c r="U565" i="3"/>
  <c r="Q566" i="3"/>
  <c r="U566" i="3"/>
  <c r="Q567" i="3"/>
  <c r="U567" i="3"/>
  <c r="Q568" i="3"/>
  <c r="U568" i="3"/>
  <c r="Q569" i="3"/>
  <c r="U569" i="3"/>
  <c r="Q570" i="3"/>
  <c r="U570" i="3"/>
  <c r="Q571" i="3"/>
  <c r="U571" i="3"/>
  <c r="Q572" i="3"/>
  <c r="U572" i="3"/>
  <c r="Q573" i="3"/>
  <c r="U573" i="3"/>
  <c r="Q574" i="3"/>
  <c r="U574" i="3"/>
  <c r="Q575" i="3"/>
  <c r="U575" i="3"/>
  <c r="Q576" i="3"/>
  <c r="U576" i="3"/>
  <c r="Q577" i="3"/>
  <c r="U577" i="3"/>
  <c r="Q578" i="3"/>
  <c r="U578" i="3"/>
  <c r="Q579" i="3"/>
  <c r="U579" i="3"/>
  <c r="Q580" i="3"/>
  <c r="U580" i="3"/>
  <c r="Q581" i="3"/>
  <c r="U581" i="3"/>
  <c r="Q582" i="3"/>
  <c r="U582" i="3"/>
  <c r="Q583" i="3"/>
  <c r="U583" i="3"/>
  <c r="Q584" i="3"/>
  <c r="U584" i="3"/>
  <c r="Q585" i="3"/>
  <c r="U585" i="3"/>
  <c r="Q586" i="3"/>
  <c r="U586" i="3"/>
  <c r="Q587" i="3"/>
  <c r="U587" i="3"/>
  <c r="Q588" i="3"/>
  <c r="U588" i="3"/>
  <c r="Q589" i="3"/>
  <c r="U589" i="3"/>
  <c r="Q590" i="3"/>
  <c r="U590" i="3"/>
  <c r="Q591" i="3"/>
  <c r="U591" i="3"/>
  <c r="Q592" i="3"/>
  <c r="U592" i="3"/>
  <c r="Q593" i="3"/>
  <c r="U593" i="3"/>
  <c r="Q594" i="3"/>
  <c r="U594" i="3"/>
  <c r="Q595" i="3"/>
  <c r="U595" i="3"/>
  <c r="Q596" i="3"/>
  <c r="U596" i="3"/>
  <c r="Q597" i="3"/>
  <c r="U597" i="3"/>
  <c r="Q598" i="3"/>
  <c r="U598" i="3"/>
  <c r="Q599" i="3"/>
  <c r="U599" i="3"/>
  <c r="Q600" i="3"/>
  <c r="U600" i="3"/>
  <c r="Q601" i="3"/>
  <c r="U601" i="3"/>
  <c r="Q602" i="3"/>
  <c r="U602" i="3"/>
  <c r="Q603" i="3"/>
  <c r="U603" i="3"/>
  <c r="Q604" i="3"/>
  <c r="U604" i="3"/>
  <c r="Q605" i="3"/>
  <c r="U605" i="3"/>
  <c r="Q606" i="3"/>
  <c r="U606" i="3"/>
  <c r="Q607" i="3"/>
  <c r="U607" i="3"/>
  <c r="Q608" i="3"/>
  <c r="U608" i="3"/>
  <c r="Q609" i="3"/>
  <c r="U609" i="3"/>
  <c r="Q610" i="3"/>
  <c r="U610" i="3"/>
  <c r="Q611" i="3"/>
  <c r="U611" i="3"/>
  <c r="Q612" i="3"/>
  <c r="U612" i="3"/>
  <c r="Q613" i="3"/>
  <c r="U613" i="3"/>
  <c r="Q614" i="3"/>
  <c r="U614" i="3"/>
  <c r="Q615" i="3"/>
  <c r="U615" i="3"/>
  <c r="Q616" i="3"/>
  <c r="U616" i="3"/>
  <c r="Q617" i="3"/>
  <c r="U617" i="3"/>
  <c r="Q618" i="3"/>
  <c r="U618" i="3"/>
  <c r="Q619" i="3"/>
  <c r="U619" i="3"/>
  <c r="Q620" i="3"/>
  <c r="U620" i="3"/>
  <c r="Q621" i="3"/>
  <c r="U621" i="3"/>
  <c r="Q622" i="3"/>
  <c r="U622" i="3"/>
  <c r="Q623" i="3"/>
  <c r="U623" i="3"/>
  <c r="Q624" i="3"/>
  <c r="U624" i="3"/>
  <c r="Q625" i="3"/>
  <c r="U625" i="3"/>
  <c r="Q626" i="3"/>
  <c r="U626" i="3"/>
  <c r="Q627" i="3"/>
  <c r="U627" i="3"/>
  <c r="Q628" i="3"/>
  <c r="U628" i="3"/>
  <c r="Q629" i="3"/>
  <c r="U629" i="3"/>
  <c r="Q630" i="3"/>
  <c r="U630" i="3"/>
  <c r="Q631" i="3"/>
  <c r="U631" i="3"/>
  <c r="Q632" i="3"/>
  <c r="U632" i="3"/>
  <c r="Q633" i="3"/>
  <c r="U633" i="3"/>
  <c r="Q634" i="3"/>
  <c r="U634" i="3"/>
  <c r="Q635" i="3"/>
  <c r="U635" i="3"/>
  <c r="Q636" i="3"/>
  <c r="U636" i="3"/>
  <c r="Q637" i="3"/>
  <c r="U637" i="3"/>
  <c r="Q638" i="3"/>
  <c r="U638" i="3"/>
  <c r="Q639" i="3"/>
  <c r="U639" i="3"/>
  <c r="Q640" i="3"/>
  <c r="U640" i="3"/>
  <c r="Q641" i="3"/>
  <c r="U641" i="3"/>
  <c r="Q642" i="3"/>
  <c r="U642" i="3"/>
  <c r="Q643" i="3"/>
  <c r="U643" i="3"/>
  <c r="Q644" i="3"/>
  <c r="U644" i="3"/>
  <c r="Q645" i="3"/>
  <c r="U645" i="3"/>
  <c r="Q646" i="3"/>
  <c r="U646" i="3"/>
  <c r="Q647" i="3"/>
  <c r="U647" i="3"/>
  <c r="Q648" i="3"/>
  <c r="U648" i="3"/>
  <c r="Q649" i="3"/>
  <c r="U649" i="3"/>
  <c r="Q650" i="3"/>
  <c r="U650" i="3"/>
  <c r="Q651" i="3"/>
  <c r="U651" i="3"/>
  <c r="Q652" i="3"/>
  <c r="U652" i="3"/>
  <c r="Q653" i="3"/>
  <c r="U653" i="3"/>
  <c r="Q654" i="3"/>
  <c r="U654" i="3"/>
  <c r="Q655" i="3"/>
  <c r="U655" i="3"/>
  <c r="Q656" i="3"/>
  <c r="U656" i="3"/>
  <c r="Q657" i="3"/>
  <c r="U657" i="3"/>
  <c r="Q658" i="3"/>
  <c r="U658" i="3"/>
  <c r="Q659" i="3"/>
  <c r="U659" i="3"/>
  <c r="Q660" i="3"/>
  <c r="U660" i="3"/>
  <c r="Q661" i="3"/>
  <c r="U661" i="3"/>
  <c r="Q662" i="3"/>
  <c r="U662" i="3"/>
  <c r="Q663" i="3"/>
  <c r="U663" i="3"/>
  <c r="Q664" i="3"/>
  <c r="U664" i="3"/>
  <c r="Q665" i="3"/>
  <c r="U665" i="3"/>
  <c r="Q666" i="3"/>
  <c r="U666" i="3"/>
  <c r="Q667" i="3"/>
  <c r="U667" i="3"/>
  <c r="Q668" i="3"/>
  <c r="U668" i="3"/>
  <c r="Q669" i="3"/>
  <c r="U669" i="3"/>
  <c r="Q670" i="3"/>
  <c r="U670" i="3"/>
  <c r="Q671" i="3"/>
  <c r="U671" i="3"/>
  <c r="Q672" i="3"/>
  <c r="U672" i="3"/>
  <c r="Q673" i="3"/>
  <c r="U673" i="3"/>
  <c r="Q674" i="3"/>
  <c r="U674" i="3"/>
  <c r="Q675" i="3"/>
  <c r="U675" i="3"/>
  <c r="Q676" i="3"/>
  <c r="U676" i="3"/>
  <c r="Q677" i="3"/>
  <c r="U677" i="3"/>
  <c r="Q678" i="3"/>
  <c r="U678" i="3"/>
  <c r="Q679" i="3"/>
  <c r="U679" i="3"/>
  <c r="Q680" i="3"/>
  <c r="U680" i="3"/>
  <c r="Q681" i="3"/>
  <c r="U681" i="3"/>
  <c r="Q682" i="3"/>
  <c r="U682" i="3"/>
  <c r="Q683" i="3"/>
  <c r="U683" i="3"/>
  <c r="Q684" i="3"/>
  <c r="U684" i="3"/>
  <c r="Q685" i="3"/>
  <c r="U685" i="3"/>
  <c r="Q686" i="3"/>
  <c r="U686" i="3"/>
  <c r="Q687" i="3"/>
  <c r="U687" i="3"/>
  <c r="Q688" i="3"/>
  <c r="U688" i="3"/>
  <c r="Q689" i="3"/>
  <c r="U689" i="3"/>
  <c r="Q690" i="3"/>
  <c r="U690" i="3"/>
  <c r="Q691" i="3"/>
  <c r="U691" i="3"/>
  <c r="Q692" i="3"/>
  <c r="U692" i="3"/>
  <c r="Q693" i="3"/>
  <c r="U693" i="3"/>
  <c r="Q694" i="3"/>
  <c r="U694" i="3"/>
  <c r="Q695" i="3"/>
  <c r="U695" i="3"/>
  <c r="Q696" i="3"/>
  <c r="U696" i="3"/>
  <c r="Q697" i="3"/>
  <c r="U697" i="3"/>
  <c r="Q698" i="3"/>
  <c r="U698" i="3"/>
  <c r="Q699" i="3"/>
  <c r="U699" i="3"/>
  <c r="Q700" i="3"/>
  <c r="U700" i="3"/>
  <c r="Q701" i="3"/>
  <c r="U701" i="3"/>
  <c r="Q702" i="3"/>
  <c r="U702" i="3"/>
  <c r="Q703" i="3"/>
  <c r="U703" i="3"/>
  <c r="Q704" i="3"/>
  <c r="U704" i="3"/>
  <c r="Q705" i="3"/>
  <c r="U705" i="3"/>
  <c r="Q706" i="3"/>
  <c r="U706" i="3"/>
  <c r="Q707" i="3"/>
  <c r="U707" i="3"/>
  <c r="Q708" i="3"/>
  <c r="U708" i="3"/>
  <c r="Q709" i="3"/>
  <c r="U709" i="3"/>
  <c r="Q710" i="3"/>
  <c r="U710" i="3"/>
  <c r="Q711" i="3"/>
  <c r="U711" i="3"/>
  <c r="Q712" i="3"/>
  <c r="U712" i="3"/>
  <c r="Q713" i="3"/>
  <c r="U713" i="3"/>
  <c r="Q714" i="3"/>
  <c r="U714" i="3"/>
  <c r="Q715" i="3"/>
  <c r="U715" i="3"/>
  <c r="Q716" i="3"/>
  <c r="U716" i="3"/>
  <c r="Q717" i="3"/>
  <c r="U717" i="3"/>
  <c r="Q718" i="3"/>
  <c r="U718" i="3"/>
  <c r="Q719" i="3"/>
  <c r="U719" i="3"/>
  <c r="Q720" i="3"/>
  <c r="U720" i="3"/>
  <c r="Q721" i="3"/>
  <c r="U721" i="3"/>
  <c r="Q722" i="3"/>
  <c r="U722" i="3"/>
  <c r="Q723" i="3"/>
  <c r="U723" i="3"/>
  <c r="Q724" i="3"/>
  <c r="U724" i="3"/>
  <c r="Q725" i="3"/>
  <c r="U725" i="3"/>
  <c r="Q726" i="3"/>
  <c r="U726" i="3"/>
  <c r="Q727" i="3"/>
  <c r="U727" i="3"/>
  <c r="Q728" i="3"/>
  <c r="U728" i="3"/>
  <c r="Q729" i="3"/>
  <c r="U729" i="3"/>
  <c r="Q730" i="3"/>
  <c r="U730" i="3"/>
  <c r="Q731" i="3"/>
  <c r="U731" i="3"/>
  <c r="Q732" i="3"/>
  <c r="U732" i="3"/>
  <c r="Q733" i="3"/>
  <c r="U733" i="3"/>
  <c r="Q734" i="3"/>
  <c r="U734" i="3"/>
  <c r="Q735" i="3"/>
  <c r="U735" i="3"/>
  <c r="Q736" i="3"/>
  <c r="U736" i="3"/>
  <c r="Q737" i="3"/>
  <c r="U737" i="3"/>
  <c r="Q738" i="3"/>
  <c r="U738" i="3"/>
  <c r="Q739" i="3"/>
  <c r="U739" i="3"/>
  <c r="Q740" i="3"/>
  <c r="U740" i="3"/>
  <c r="Q741" i="3"/>
  <c r="U741" i="3"/>
  <c r="Q742" i="3"/>
  <c r="U742" i="3"/>
  <c r="Q743" i="3"/>
  <c r="U743" i="3"/>
  <c r="Q744" i="3"/>
  <c r="U744" i="3"/>
  <c r="Q745" i="3"/>
  <c r="U745" i="3"/>
  <c r="Q746" i="3"/>
  <c r="U746" i="3"/>
  <c r="Q747" i="3"/>
  <c r="U747" i="3"/>
  <c r="Q748" i="3"/>
  <c r="U748" i="3"/>
  <c r="Q749" i="3"/>
  <c r="U749" i="3"/>
  <c r="Q750" i="3"/>
  <c r="U750" i="3"/>
  <c r="Q751" i="3"/>
  <c r="U751" i="3"/>
  <c r="Q752" i="3"/>
  <c r="U752" i="3"/>
  <c r="Q753" i="3"/>
  <c r="U753" i="3"/>
  <c r="Q754" i="3"/>
  <c r="U754" i="3"/>
  <c r="Q755" i="3"/>
  <c r="U755" i="3"/>
  <c r="Q756" i="3"/>
  <c r="U756" i="3"/>
  <c r="Q757" i="3"/>
  <c r="U757" i="3"/>
  <c r="Q758" i="3"/>
  <c r="U758" i="3"/>
  <c r="Q759" i="3"/>
  <c r="U759" i="3"/>
  <c r="Q760" i="3"/>
  <c r="U760" i="3"/>
  <c r="Q761" i="3"/>
  <c r="U761" i="3"/>
  <c r="Q762" i="3"/>
  <c r="U762" i="3"/>
  <c r="Q763" i="3"/>
  <c r="U763" i="3"/>
  <c r="Q764" i="3"/>
  <c r="U764" i="3"/>
  <c r="Q765" i="3"/>
  <c r="U765" i="3"/>
  <c r="Q766" i="3"/>
  <c r="U766" i="3"/>
  <c r="Q767" i="3"/>
  <c r="U767" i="3"/>
  <c r="Q768" i="3"/>
  <c r="U768" i="3"/>
  <c r="Q769" i="3"/>
  <c r="U769" i="3"/>
  <c r="Q770" i="3"/>
  <c r="U770" i="3"/>
  <c r="Q771" i="3"/>
  <c r="U771" i="3"/>
  <c r="Q772" i="3"/>
  <c r="U772" i="3"/>
  <c r="Q773" i="3"/>
  <c r="U773" i="3"/>
  <c r="Q774" i="3"/>
  <c r="U774" i="3"/>
  <c r="Q775" i="3"/>
  <c r="U775" i="3"/>
  <c r="Q776" i="3"/>
  <c r="U776" i="3"/>
  <c r="Q777" i="3"/>
  <c r="U777" i="3"/>
  <c r="Q778" i="3"/>
  <c r="U778" i="3"/>
  <c r="Q779" i="3"/>
  <c r="U779" i="3"/>
  <c r="Q780" i="3"/>
  <c r="U780" i="3"/>
  <c r="Q781" i="3"/>
  <c r="U781" i="3"/>
  <c r="Q782" i="3"/>
  <c r="U782" i="3"/>
  <c r="Q783" i="3"/>
  <c r="U783" i="3"/>
  <c r="Q784" i="3"/>
  <c r="U784" i="3"/>
  <c r="Q785" i="3"/>
  <c r="U785" i="3"/>
  <c r="Q786" i="3"/>
  <c r="U786" i="3"/>
  <c r="Q787" i="3"/>
  <c r="U787" i="3"/>
  <c r="Q788" i="3"/>
  <c r="U788" i="3"/>
  <c r="Q789" i="3"/>
  <c r="U789" i="3"/>
  <c r="Q790" i="3"/>
  <c r="U790" i="3"/>
  <c r="Q791" i="3"/>
  <c r="U791" i="3"/>
  <c r="Q792" i="3"/>
  <c r="U792" i="3"/>
  <c r="Q793" i="3"/>
  <c r="U793" i="3"/>
  <c r="Q794" i="3"/>
  <c r="U794" i="3"/>
  <c r="Q795" i="3"/>
  <c r="U795" i="3"/>
  <c r="Q796" i="3"/>
  <c r="U796" i="3"/>
  <c r="Q797" i="3"/>
  <c r="U797" i="3"/>
  <c r="Q798" i="3"/>
  <c r="U798" i="3"/>
  <c r="Q799" i="3"/>
  <c r="U799" i="3"/>
  <c r="Q800" i="3"/>
  <c r="U800" i="3"/>
  <c r="Q801" i="3"/>
  <c r="U801" i="3"/>
  <c r="Q802" i="3"/>
  <c r="U802" i="3"/>
  <c r="Q803" i="3"/>
  <c r="U803" i="3"/>
  <c r="Q804" i="3"/>
  <c r="U804" i="3"/>
  <c r="Q805" i="3"/>
  <c r="U805" i="3"/>
  <c r="Q806" i="3"/>
  <c r="U806" i="3"/>
  <c r="Q807" i="3"/>
  <c r="U807" i="3"/>
  <c r="Q808" i="3"/>
  <c r="U808" i="3"/>
  <c r="Q809" i="3"/>
  <c r="U809" i="3"/>
  <c r="Q810" i="3"/>
  <c r="U810" i="3"/>
  <c r="Q811" i="3"/>
  <c r="U811" i="3"/>
  <c r="Q812" i="3"/>
  <c r="U812" i="3"/>
  <c r="Q813" i="3"/>
  <c r="U813" i="3"/>
  <c r="Q814" i="3"/>
  <c r="U814" i="3"/>
  <c r="Q815" i="3"/>
  <c r="U815" i="3"/>
  <c r="Q816" i="3"/>
  <c r="U816" i="3"/>
  <c r="Q817" i="3"/>
  <c r="U817" i="3"/>
  <c r="Q818" i="3"/>
  <c r="U818" i="3"/>
  <c r="Q819" i="3"/>
  <c r="U819" i="3"/>
  <c r="Q820" i="3"/>
  <c r="U820" i="3"/>
  <c r="Q821" i="3"/>
  <c r="U821" i="3"/>
  <c r="Q822" i="3"/>
  <c r="U822" i="3"/>
  <c r="Q823" i="3"/>
  <c r="U823" i="3"/>
  <c r="Q824" i="3"/>
  <c r="U824" i="3"/>
  <c r="Q825" i="3"/>
  <c r="U825" i="3"/>
  <c r="Q826" i="3"/>
  <c r="U826" i="3"/>
  <c r="Q827" i="3"/>
  <c r="U827" i="3"/>
  <c r="Q828" i="3"/>
  <c r="U828" i="3"/>
  <c r="Q829" i="3"/>
  <c r="U829" i="3"/>
  <c r="Q830" i="3"/>
  <c r="U830" i="3"/>
  <c r="Q831" i="3"/>
  <c r="U831" i="3"/>
  <c r="Q832" i="3"/>
  <c r="U832" i="3"/>
  <c r="Q833" i="3"/>
  <c r="U833" i="3"/>
  <c r="Q834" i="3"/>
  <c r="U834" i="3"/>
  <c r="Q835" i="3"/>
  <c r="U835" i="3"/>
  <c r="Q836" i="3"/>
  <c r="U836" i="3"/>
  <c r="Q837" i="3"/>
  <c r="U837" i="3"/>
  <c r="Q838" i="3"/>
  <c r="U838" i="3"/>
  <c r="Q839" i="3"/>
  <c r="U839" i="3"/>
  <c r="Q840" i="3"/>
  <c r="U840" i="3"/>
  <c r="Q841" i="3"/>
  <c r="U841" i="3"/>
  <c r="Q842" i="3"/>
  <c r="U842" i="3"/>
  <c r="Q843" i="3"/>
  <c r="U843" i="3"/>
  <c r="Q844" i="3"/>
  <c r="U844" i="3"/>
  <c r="Q845" i="3"/>
  <c r="U845" i="3"/>
  <c r="Q846" i="3"/>
  <c r="U846" i="3"/>
  <c r="Q847" i="3"/>
  <c r="U847" i="3"/>
  <c r="Q848" i="3"/>
  <c r="U848" i="3"/>
  <c r="Q849" i="3"/>
  <c r="U849" i="3"/>
  <c r="Q850" i="3"/>
  <c r="U850" i="3"/>
  <c r="Q851" i="3"/>
  <c r="U851" i="3"/>
  <c r="Q852" i="3"/>
  <c r="U852" i="3"/>
  <c r="Q853" i="3"/>
  <c r="U853" i="3"/>
  <c r="Q854" i="3"/>
  <c r="U854" i="3"/>
  <c r="Q855" i="3"/>
  <c r="U855" i="3"/>
  <c r="Q856" i="3"/>
  <c r="U856" i="3"/>
  <c r="Q857" i="3"/>
  <c r="U857" i="3"/>
  <c r="Q858" i="3"/>
  <c r="U858" i="3"/>
  <c r="Q859" i="3"/>
  <c r="U859" i="3"/>
  <c r="Q860" i="3"/>
  <c r="U860" i="3"/>
  <c r="Q861" i="3"/>
  <c r="U861" i="3"/>
  <c r="Q862" i="3"/>
  <c r="U862" i="3"/>
  <c r="Q863" i="3"/>
  <c r="U863" i="3"/>
  <c r="Q864" i="3"/>
  <c r="U864" i="3"/>
  <c r="Q865" i="3"/>
  <c r="U865" i="3"/>
  <c r="Q866" i="3"/>
  <c r="U866" i="3"/>
  <c r="Q867" i="3"/>
  <c r="U867" i="3"/>
  <c r="Q868" i="3"/>
  <c r="U868" i="3"/>
  <c r="Q869" i="3"/>
  <c r="U869" i="3"/>
  <c r="Q870" i="3"/>
  <c r="U870" i="3"/>
  <c r="Q871" i="3"/>
  <c r="U871" i="3"/>
  <c r="Q872" i="3"/>
  <c r="U872" i="3"/>
  <c r="Q873" i="3"/>
  <c r="U873" i="3"/>
  <c r="Q874" i="3"/>
  <c r="U874" i="3"/>
  <c r="Q875" i="3"/>
  <c r="U875" i="3"/>
  <c r="Q876" i="3"/>
  <c r="U876" i="3"/>
  <c r="Q877" i="3"/>
  <c r="U877" i="3"/>
  <c r="Q878" i="3"/>
  <c r="U878" i="3"/>
  <c r="Q879" i="3"/>
  <c r="U879" i="3"/>
  <c r="Q880" i="3"/>
  <c r="U880" i="3"/>
  <c r="Q881" i="3"/>
  <c r="U881" i="3"/>
  <c r="Q882" i="3"/>
  <c r="U882" i="3"/>
  <c r="Q883" i="3"/>
  <c r="U883" i="3"/>
  <c r="Q884" i="3"/>
  <c r="U884" i="3"/>
  <c r="Q885" i="3"/>
  <c r="U885" i="3"/>
  <c r="Q886" i="3"/>
  <c r="U886" i="3"/>
  <c r="Q887" i="3"/>
  <c r="U887" i="3"/>
  <c r="Q888" i="3"/>
  <c r="U888" i="3"/>
  <c r="Q889" i="3"/>
  <c r="U889" i="3"/>
  <c r="Q890" i="3"/>
  <c r="U890" i="3"/>
  <c r="Q891" i="3"/>
  <c r="U891" i="3"/>
  <c r="Q892" i="3"/>
  <c r="U892" i="3"/>
  <c r="Q893" i="3"/>
  <c r="U893" i="3"/>
  <c r="Q894" i="3"/>
  <c r="U894" i="3"/>
  <c r="Q895" i="3"/>
  <c r="U895" i="3"/>
  <c r="Q896" i="3"/>
  <c r="U896" i="3"/>
  <c r="Q897" i="3"/>
  <c r="U897" i="3"/>
  <c r="Q898" i="3"/>
  <c r="U898" i="3"/>
  <c r="Q899" i="3"/>
  <c r="U899" i="3"/>
  <c r="Q900" i="3"/>
  <c r="U900" i="3"/>
  <c r="Q901" i="3"/>
  <c r="U901" i="3"/>
  <c r="Q902" i="3"/>
  <c r="U902" i="3"/>
  <c r="Q903" i="3"/>
  <c r="U903" i="3"/>
  <c r="Q904" i="3"/>
  <c r="U904" i="3"/>
  <c r="Q905" i="3"/>
  <c r="U905" i="3"/>
  <c r="Q906" i="3"/>
  <c r="U906" i="3"/>
  <c r="Q907" i="3"/>
  <c r="U907" i="3"/>
  <c r="Q908" i="3"/>
  <c r="U908" i="3"/>
  <c r="Q909" i="3"/>
  <c r="U909" i="3"/>
  <c r="Q910" i="3"/>
  <c r="U910" i="3"/>
  <c r="Q911" i="3"/>
  <c r="U911" i="3"/>
  <c r="Q912" i="3"/>
  <c r="U912" i="3"/>
  <c r="Q913" i="3"/>
  <c r="U913" i="3"/>
  <c r="Q914" i="3"/>
  <c r="U914" i="3"/>
  <c r="Q915" i="3"/>
  <c r="U915" i="3"/>
  <c r="Q916" i="3"/>
  <c r="U916" i="3"/>
  <c r="Q917" i="3"/>
  <c r="U917" i="3"/>
  <c r="Q918" i="3"/>
  <c r="U918" i="3"/>
  <c r="Q919" i="3"/>
  <c r="U919" i="3"/>
  <c r="Q920" i="3"/>
  <c r="U920" i="3"/>
  <c r="Q921" i="3"/>
  <c r="U921" i="3"/>
  <c r="Q922" i="3"/>
  <c r="U922" i="3"/>
  <c r="Q923" i="3"/>
  <c r="U923" i="3"/>
  <c r="Q924" i="3"/>
  <c r="U924" i="3"/>
  <c r="Q925" i="3"/>
  <c r="U925" i="3"/>
  <c r="Q926" i="3"/>
  <c r="U926" i="3"/>
  <c r="Q927" i="3"/>
  <c r="U927" i="3"/>
  <c r="Q928" i="3"/>
  <c r="U928" i="3"/>
  <c r="Q929" i="3"/>
  <c r="U929" i="3"/>
  <c r="Q930" i="3"/>
  <c r="U930" i="3"/>
  <c r="Q931" i="3"/>
  <c r="U931" i="3"/>
  <c r="Q932" i="3"/>
  <c r="U932" i="3"/>
  <c r="Q933" i="3"/>
  <c r="U933" i="3"/>
  <c r="Q934" i="3"/>
  <c r="U934" i="3"/>
  <c r="Q935" i="3"/>
  <c r="U935" i="3"/>
  <c r="Q936" i="3"/>
  <c r="U936" i="3"/>
  <c r="Q937" i="3"/>
  <c r="U937" i="3"/>
  <c r="Q938" i="3"/>
  <c r="U938" i="3"/>
  <c r="Q939" i="3"/>
  <c r="U939" i="3"/>
  <c r="Q940" i="3"/>
  <c r="U940" i="3"/>
  <c r="Q941" i="3"/>
  <c r="U941" i="3"/>
  <c r="Q942" i="3"/>
  <c r="U942" i="3"/>
  <c r="Q943" i="3"/>
  <c r="U943" i="3"/>
  <c r="Q944" i="3"/>
  <c r="U944" i="3"/>
  <c r="Q945" i="3"/>
  <c r="U945" i="3"/>
  <c r="Q946" i="3"/>
  <c r="U946" i="3"/>
  <c r="Q947" i="3"/>
  <c r="U947" i="3"/>
  <c r="Q948" i="3"/>
  <c r="U948" i="3"/>
  <c r="Q949" i="3"/>
  <c r="U949" i="3"/>
  <c r="Q950" i="3"/>
  <c r="U950" i="3"/>
  <c r="Q951" i="3"/>
  <c r="U951" i="3"/>
  <c r="Q952" i="3"/>
  <c r="U952" i="3"/>
  <c r="Q953" i="3"/>
  <c r="U953" i="3"/>
  <c r="Q954" i="3"/>
  <c r="U954" i="3"/>
  <c r="Q955" i="3"/>
  <c r="U955" i="3"/>
  <c r="Q956" i="3"/>
  <c r="U956" i="3"/>
  <c r="Q957" i="3"/>
  <c r="U957" i="3"/>
  <c r="Q958" i="3"/>
  <c r="U958" i="3"/>
  <c r="Q959" i="3"/>
  <c r="U959" i="3"/>
  <c r="Q960" i="3"/>
  <c r="U960" i="3"/>
  <c r="Q961" i="3"/>
  <c r="U961" i="3"/>
  <c r="Q962" i="3"/>
  <c r="U962" i="3"/>
  <c r="Q963" i="3"/>
  <c r="U963" i="3"/>
  <c r="Q964" i="3"/>
  <c r="U964" i="3"/>
  <c r="Q965" i="3"/>
  <c r="U965" i="3"/>
  <c r="Q966" i="3"/>
  <c r="U966" i="3"/>
  <c r="Q967" i="3"/>
  <c r="U967" i="3"/>
  <c r="Q968" i="3"/>
  <c r="U968" i="3"/>
  <c r="Q969" i="3"/>
  <c r="U969" i="3"/>
  <c r="Q970" i="3"/>
  <c r="U970" i="3"/>
  <c r="Q971" i="3"/>
  <c r="U971" i="3"/>
  <c r="Q972" i="3"/>
  <c r="U972" i="3"/>
  <c r="Q973" i="3"/>
  <c r="U973" i="3"/>
  <c r="Q974" i="3"/>
  <c r="U974" i="3"/>
  <c r="Q975" i="3"/>
  <c r="U975" i="3"/>
  <c r="Q976" i="3"/>
  <c r="U976" i="3"/>
  <c r="Q977" i="3"/>
  <c r="U977" i="3"/>
  <c r="Q978" i="3"/>
  <c r="U978" i="3"/>
  <c r="Q979" i="3"/>
  <c r="U979" i="3"/>
  <c r="Q980" i="3"/>
  <c r="U980" i="3"/>
  <c r="Q981" i="3"/>
  <c r="U981" i="3"/>
  <c r="Q982" i="3"/>
  <c r="U982" i="3"/>
  <c r="Q983" i="3"/>
  <c r="U983" i="3"/>
  <c r="Q984" i="3"/>
  <c r="U984" i="3"/>
  <c r="Q985" i="3"/>
  <c r="U985" i="3"/>
  <c r="Q986" i="3"/>
  <c r="U986" i="3"/>
  <c r="Q987" i="3"/>
  <c r="U987" i="3"/>
  <c r="Q988" i="3"/>
  <c r="U988" i="3"/>
  <c r="Q989" i="3"/>
  <c r="U989" i="3"/>
  <c r="Q990" i="3"/>
  <c r="U990" i="3"/>
  <c r="Q991" i="3"/>
  <c r="U991" i="3"/>
  <c r="Q992" i="3"/>
  <c r="U992" i="3"/>
  <c r="Q993" i="3"/>
  <c r="U993" i="3"/>
  <c r="Q994" i="3"/>
  <c r="U994" i="3"/>
  <c r="Q995" i="3"/>
  <c r="U995" i="3"/>
  <c r="Q996" i="3"/>
  <c r="U996" i="3"/>
  <c r="Q997" i="3"/>
  <c r="U997" i="3"/>
  <c r="Q998" i="3"/>
  <c r="U998" i="3"/>
  <c r="Q999" i="3"/>
  <c r="U999" i="3"/>
  <c r="Q1000" i="3"/>
  <c r="U1000" i="3"/>
  <c r="Q1001" i="3"/>
  <c r="U1001" i="3"/>
  <c r="Q1002" i="3"/>
  <c r="U1002" i="3"/>
  <c r="Q1003" i="3"/>
  <c r="U1003" i="3"/>
  <c r="Q1004" i="3"/>
  <c r="U1004" i="3"/>
  <c r="Q1005" i="3"/>
  <c r="U1005" i="3"/>
  <c r="Q1006" i="3"/>
  <c r="U1006" i="3"/>
  <c r="Q1007" i="3"/>
  <c r="U1007" i="3"/>
  <c r="Q1008" i="3"/>
  <c r="U1008" i="3"/>
  <c r="Q1009" i="3"/>
  <c r="U1009" i="3"/>
  <c r="Q1010" i="3"/>
  <c r="U1010" i="3"/>
  <c r="Q1011" i="3"/>
  <c r="U1011" i="3"/>
  <c r="Q1012" i="3"/>
  <c r="U1012" i="3"/>
  <c r="Q1013" i="3"/>
  <c r="U1013" i="3"/>
  <c r="Q1014" i="3"/>
  <c r="U1014" i="3"/>
  <c r="Q1015" i="3"/>
  <c r="U1015" i="3"/>
  <c r="Q1016" i="3"/>
  <c r="U1016" i="3"/>
  <c r="Q1017" i="3"/>
  <c r="U1017" i="3"/>
  <c r="Q1018" i="3"/>
  <c r="U1018" i="3"/>
  <c r="Q1019" i="3"/>
  <c r="U1019" i="3"/>
  <c r="Q1020" i="3"/>
  <c r="U1020" i="3"/>
  <c r="Q1021" i="3"/>
  <c r="U1021" i="3"/>
  <c r="Q1022" i="3"/>
  <c r="U1022" i="3"/>
  <c r="Q1023" i="3"/>
  <c r="U1023" i="3"/>
  <c r="Q1024" i="3"/>
  <c r="U1024" i="3"/>
  <c r="Q1025" i="3"/>
  <c r="U1025" i="3"/>
  <c r="Q1026" i="3"/>
  <c r="U1026" i="3"/>
  <c r="Q1027" i="3"/>
  <c r="U1027" i="3"/>
  <c r="Q1028" i="3"/>
  <c r="U1028" i="3"/>
  <c r="Q1029" i="3"/>
  <c r="U1029" i="3"/>
  <c r="Q1030" i="3"/>
  <c r="U1030" i="3"/>
  <c r="Q1031" i="3"/>
  <c r="U1031" i="3"/>
  <c r="Q1032" i="3"/>
  <c r="U1032" i="3"/>
  <c r="Q1033" i="3"/>
  <c r="U1033" i="3"/>
  <c r="Q1034" i="3"/>
  <c r="U1034" i="3"/>
  <c r="Q1035" i="3"/>
  <c r="U1035" i="3"/>
  <c r="Q1036" i="3"/>
  <c r="U1036" i="3"/>
  <c r="Q1037" i="3"/>
  <c r="U1037" i="3"/>
  <c r="Q1038" i="3"/>
  <c r="U1038" i="3"/>
  <c r="Q1039" i="3"/>
  <c r="U1039" i="3"/>
  <c r="Q1040" i="3"/>
  <c r="U1040" i="3"/>
  <c r="Q1041" i="3"/>
  <c r="U1041" i="3"/>
  <c r="Q1042" i="3"/>
  <c r="U1042" i="3"/>
  <c r="Q1043" i="3"/>
  <c r="U1043" i="3"/>
  <c r="Q1044" i="3"/>
  <c r="U1044" i="3"/>
  <c r="Q1045" i="3"/>
  <c r="U1045" i="3"/>
  <c r="Q1046" i="3"/>
  <c r="U1046" i="3"/>
  <c r="Q1047" i="3"/>
  <c r="U1047" i="3"/>
  <c r="Q1048" i="3"/>
  <c r="U1048" i="3"/>
  <c r="Q1049" i="3"/>
  <c r="U1049" i="3"/>
  <c r="Q1050" i="3"/>
  <c r="U1050" i="3"/>
  <c r="Q1051" i="3"/>
  <c r="U1051" i="3"/>
  <c r="Q1052" i="3"/>
  <c r="U1052" i="3"/>
  <c r="Q1053" i="3"/>
  <c r="U1053" i="3"/>
  <c r="Q1054" i="3"/>
  <c r="U1054" i="3"/>
  <c r="Q1055" i="3"/>
  <c r="U1055" i="3"/>
  <c r="Q1056" i="3"/>
  <c r="U1056" i="3"/>
  <c r="Q1057" i="3"/>
  <c r="U1057" i="3"/>
  <c r="Q1058" i="3"/>
  <c r="U1058" i="3"/>
  <c r="Q1059" i="3"/>
  <c r="U1059" i="3"/>
  <c r="Q1060" i="3"/>
  <c r="U1060" i="3"/>
  <c r="Q1061" i="3"/>
  <c r="U1061" i="3"/>
  <c r="Q1062" i="3"/>
  <c r="U1062" i="3"/>
  <c r="Q1063" i="3"/>
  <c r="U1063" i="3"/>
  <c r="Q1064" i="3"/>
  <c r="U1064" i="3"/>
  <c r="Q1065" i="3"/>
  <c r="U1065" i="3"/>
  <c r="Q1066" i="3"/>
  <c r="U1066" i="3"/>
  <c r="Q1067" i="3"/>
  <c r="U1067" i="3"/>
  <c r="Q1068" i="3"/>
  <c r="U1068" i="3"/>
  <c r="Q1069" i="3"/>
  <c r="U1069" i="3"/>
  <c r="Q1070" i="3"/>
  <c r="U1070" i="3"/>
  <c r="Q1071" i="3"/>
  <c r="U1071" i="3"/>
  <c r="Q1072" i="3"/>
  <c r="U1072" i="3"/>
  <c r="Q1073" i="3"/>
  <c r="U1073" i="3"/>
  <c r="Q1074" i="3"/>
  <c r="U1074" i="3"/>
  <c r="R3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R4" i="3"/>
  <c r="T4" i="3"/>
  <c r="R5" i="3"/>
  <c r="T5" i="3"/>
  <c r="R6" i="3"/>
  <c r="T6" i="3"/>
  <c r="R7" i="3"/>
  <c r="T7" i="3"/>
  <c r="R8" i="3"/>
  <c r="T8" i="3"/>
  <c r="R9" i="3"/>
  <c r="T9" i="3"/>
  <c r="R10" i="3"/>
  <c r="T10" i="3"/>
  <c r="R11" i="3"/>
  <c r="T11" i="3"/>
  <c r="R12" i="3"/>
  <c r="T12" i="3"/>
  <c r="R13" i="3"/>
  <c r="T13" i="3"/>
  <c r="R14" i="3"/>
  <c r="T14" i="3"/>
  <c r="R15" i="3"/>
  <c r="T15" i="3"/>
  <c r="R16" i="3"/>
  <c r="T16" i="3"/>
  <c r="R17" i="3"/>
  <c r="T17" i="3"/>
  <c r="R18" i="3"/>
  <c r="T18" i="3"/>
  <c r="R19" i="3"/>
  <c r="T19" i="3"/>
  <c r="R20" i="3"/>
  <c r="T20" i="3"/>
  <c r="R21" i="3"/>
  <c r="T21" i="3"/>
  <c r="R22" i="3"/>
  <c r="T22" i="3"/>
  <c r="R23" i="3"/>
  <c r="T23" i="3"/>
  <c r="R24" i="3"/>
  <c r="T24" i="3"/>
  <c r="R25" i="3"/>
  <c r="T25" i="3"/>
  <c r="R26" i="3"/>
  <c r="T26" i="3"/>
  <c r="R27" i="3"/>
  <c r="T27" i="3"/>
  <c r="R28" i="3"/>
  <c r="T28" i="3"/>
  <c r="R29" i="3"/>
  <c r="T29" i="3"/>
  <c r="R30" i="3"/>
  <c r="T30" i="3"/>
  <c r="R31" i="3"/>
  <c r="T31" i="3"/>
  <c r="R32" i="3"/>
  <c r="T32" i="3"/>
  <c r="R33" i="3"/>
  <c r="T33" i="3"/>
  <c r="R34" i="3"/>
  <c r="T34" i="3"/>
  <c r="R35" i="3"/>
  <c r="T35" i="3"/>
  <c r="R36" i="3"/>
  <c r="T36" i="3"/>
  <c r="R37" i="3"/>
  <c r="T37" i="3"/>
  <c r="R38" i="3"/>
  <c r="T38" i="3"/>
  <c r="R39" i="3"/>
  <c r="T39" i="3"/>
  <c r="R40" i="3"/>
  <c r="T40" i="3"/>
  <c r="R41" i="3"/>
  <c r="T41" i="3"/>
  <c r="R42" i="3"/>
  <c r="T42" i="3"/>
  <c r="R43" i="3"/>
  <c r="T43" i="3"/>
  <c r="R44" i="3"/>
  <c r="T44" i="3"/>
  <c r="R45" i="3"/>
  <c r="T45" i="3"/>
  <c r="R46" i="3"/>
  <c r="T46" i="3"/>
  <c r="R47" i="3"/>
  <c r="T47" i="3"/>
  <c r="R48" i="3"/>
  <c r="T48" i="3"/>
  <c r="R49" i="3"/>
  <c r="T49" i="3"/>
  <c r="R50" i="3"/>
  <c r="T50" i="3"/>
  <c r="R51" i="3"/>
  <c r="T51" i="3"/>
  <c r="R52" i="3"/>
  <c r="T52" i="3"/>
  <c r="R53" i="3"/>
  <c r="T53" i="3"/>
  <c r="R54" i="3"/>
  <c r="T54" i="3"/>
  <c r="R55" i="3"/>
  <c r="T55" i="3"/>
  <c r="R56" i="3"/>
  <c r="T56" i="3"/>
  <c r="R57" i="3"/>
  <c r="T57" i="3"/>
  <c r="R58" i="3"/>
  <c r="T58" i="3"/>
  <c r="R59" i="3"/>
  <c r="T59" i="3"/>
  <c r="R60" i="3"/>
  <c r="T60" i="3"/>
  <c r="R61" i="3"/>
  <c r="T61" i="3"/>
  <c r="R62" i="3"/>
  <c r="T62" i="3"/>
  <c r="R63" i="3"/>
  <c r="T63" i="3"/>
  <c r="R64" i="3"/>
  <c r="T64" i="3"/>
  <c r="R65" i="3"/>
  <c r="T65" i="3"/>
  <c r="R66" i="3"/>
  <c r="T66" i="3"/>
  <c r="R67" i="3"/>
  <c r="T67" i="3"/>
  <c r="R68" i="3"/>
  <c r="T68" i="3"/>
  <c r="R69" i="3"/>
  <c r="T69" i="3"/>
  <c r="R70" i="3"/>
  <c r="T70" i="3"/>
  <c r="R71" i="3"/>
  <c r="T71" i="3"/>
  <c r="R72" i="3"/>
  <c r="T72" i="3"/>
  <c r="R73" i="3"/>
  <c r="T73" i="3"/>
  <c r="R74" i="3"/>
  <c r="T74" i="3"/>
  <c r="R75" i="3"/>
  <c r="T75" i="3"/>
  <c r="R76" i="3"/>
  <c r="T76" i="3"/>
  <c r="R77" i="3"/>
  <c r="T77" i="3"/>
  <c r="R78" i="3"/>
  <c r="T78" i="3"/>
  <c r="R79" i="3"/>
  <c r="T79" i="3"/>
  <c r="R80" i="3"/>
  <c r="T80" i="3"/>
  <c r="R81" i="3"/>
  <c r="T81" i="3"/>
  <c r="R82" i="3"/>
  <c r="T82" i="3"/>
  <c r="R83" i="3"/>
  <c r="T83" i="3"/>
  <c r="R84" i="3"/>
  <c r="T84" i="3"/>
  <c r="R85" i="3"/>
  <c r="T85" i="3"/>
  <c r="R86" i="3"/>
  <c r="T86" i="3"/>
  <c r="R87" i="3"/>
  <c r="T87" i="3"/>
  <c r="R88" i="3"/>
  <c r="T88" i="3"/>
  <c r="R89" i="3"/>
  <c r="T89" i="3"/>
  <c r="R90" i="3"/>
  <c r="T90" i="3"/>
  <c r="R91" i="3"/>
  <c r="T91" i="3"/>
  <c r="R92" i="3"/>
  <c r="T92" i="3"/>
  <c r="R93" i="3"/>
  <c r="T93" i="3"/>
  <c r="R94" i="3"/>
  <c r="T94" i="3"/>
  <c r="R95" i="3"/>
  <c r="T95" i="3"/>
  <c r="R96" i="3"/>
  <c r="T96" i="3"/>
  <c r="R97" i="3"/>
  <c r="T97" i="3"/>
  <c r="R98" i="3"/>
  <c r="T98" i="3"/>
  <c r="R99" i="3"/>
  <c r="T99" i="3"/>
  <c r="R100" i="3"/>
  <c r="T100" i="3"/>
  <c r="R101" i="3"/>
  <c r="T101" i="3"/>
  <c r="R102" i="3"/>
  <c r="T102" i="3"/>
  <c r="R103" i="3"/>
  <c r="T103" i="3"/>
  <c r="R104" i="3"/>
  <c r="T104" i="3"/>
  <c r="R105" i="3"/>
  <c r="T105" i="3"/>
  <c r="R106" i="3"/>
  <c r="T106" i="3"/>
  <c r="R107" i="3"/>
  <c r="T107" i="3"/>
  <c r="R108" i="3"/>
  <c r="T108" i="3"/>
  <c r="R109" i="3"/>
  <c r="T109" i="3"/>
  <c r="R110" i="3"/>
  <c r="T110" i="3"/>
  <c r="R111" i="3"/>
  <c r="T111" i="3"/>
  <c r="R112" i="3"/>
  <c r="T112" i="3"/>
  <c r="R113" i="3"/>
  <c r="T113" i="3"/>
  <c r="R114" i="3"/>
  <c r="T114" i="3"/>
  <c r="R115" i="3"/>
  <c r="T115" i="3"/>
  <c r="R116" i="3"/>
  <c r="T116" i="3"/>
  <c r="R117" i="3"/>
  <c r="T117" i="3"/>
  <c r="R118" i="3"/>
  <c r="T118" i="3"/>
  <c r="R119" i="3"/>
  <c r="T119" i="3"/>
  <c r="R120" i="3"/>
  <c r="T120" i="3"/>
  <c r="R121" i="3"/>
  <c r="T121" i="3"/>
  <c r="R122" i="3"/>
  <c r="T122" i="3"/>
  <c r="R123" i="3"/>
  <c r="T123" i="3"/>
  <c r="R124" i="3"/>
  <c r="T124" i="3"/>
  <c r="R125" i="3"/>
  <c r="T125" i="3"/>
  <c r="R126" i="3"/>
  <c r="T126" i="3"/>
  <c r="R127" i="3"/>
  <c r="T127" i="3"/>
  <c r="R128" i="3"/>
  <c r="T128" i="3"/>
  <c r="R129" i="3"/>
  <c r="T129" i="3"/>
  <c r="R130" i="3"/>
  <c r="T130" i="3"/>
  <c r="R131" i="3"/>
  <c r="T131" i="3"/>
  <c r="R132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3" i="3"/>
  <c r="I133" i="3"/>
  <c r="L134" i="3"/>
  <c r="I134" i="3"/>
  <c r="L135" i="3"/>
  <c r="I135" i="3"/>
  <c r="L136" i="3"/>
  <c r="I136" i="3"/>
  <c r="L137" i="3"/>
  <c r="I137" i="3"/>
  <c r="L138" i="3"/>
  <c r="I138" i="3"/>
  <c r="L139" i="3"/>
  <c r="I139" i="3"/>
  <c r="L140" i="3"/>
  <c r="I140" i="3"/>
  <c r="L141" i="3"/>
  <c r="I141" i="3"/>
  <c r="L142" i="3"/>
  <c r="I142" i="3"/>
  <c r="L143" i="3"/>
  <c r="I143" i="3"/>
  <c r="L144" i="3"/>
  <c r="I144" i="3"/>
  <c r="L145" i="3"/>
  <c r="I145" i="3"/>
  <c r="L146" i="3"/>
  <c r="I146" i="3"/>
  <c r="L147" i="3"/>
  <c r="I147" i="3"/>
  <c r="L148" i="3"/>
  <c r="I148" i="3"/>
  <c r="L149" i="3"/>
  <c r="I149" i="3"/>
  <c r="L150" i="3"/>
  <c r="I150" i="3"/>
  <c r="L151" i="3"/>
  <c r="I151" i="3"/>
  <c r="L152" i="3"/>
  <c r="I152" i="3"/>
  <c r="L153" i="3"/>
  <c r="I153" i="3"/>
  <c r="L154" i="3"/>
  <c r="I154" i="3"/>
  <c r="L155" i="3"/>
  <c r="I155" i="3"/>
  <c r="L156" i="3"/>
  <c r="I156" i="3"/>
  <c r="L157" i="3"/>
  <c r="I157" i="3"/>
  <c r="L158" i="3"/>
  <c r="I158" i="3"/>
  <c r="L159" i="3"/>
  <c r="I159" i="3"/>
  <c r="L160" i="3"/>
  <c r="I160" i="3"/>
  <c r="L161" i="3"/>
  <c r="I161" i="3"/>
  <c r="L162" i="3"/>
  <c r="I162" i="3"/>
  <c r="L163" i="3"/>
  <c r="I163" i="3"/>
  <c r="L164" i="3"/>
  <c r="I164" i="3"/>
  <c r="L165" i="3"/>
  <c r="I165" i="3"/>
  <c r="L166" i="3"/>
  <c r="I166" i="3"/>
  <c r="L167" i="3"/>
  <c r="I167" i="3"/>
  <c r="L168" i="3"/>
  <c r="I168" i="3"/>
  <c r="L169" i="3"/>
  <c r="I169" i="3"/>
  <c r="L170" i="3"/>
  <c r="I170" i="3"/>
  <c r="L171" i="3"/>
  <c r="I171" i="3"/>
  <c r="L172" i="3"/>
  <c r="I172" i="3"/>
  <c r="L173" i="3"/>
  <c r="I173" i="3"/>
  <c r="L174" i="3"/>
  <c r="I174" i="3"/>
  <c r="L175" i="3"/>
  <c r="I175" i="3"/>
  <c r="L176" i="3"/>
  <c r="I176" i="3"/>
  <c r="L177" i="3"/>
  <c r="I177" i="3"/>
  <c r="L178" i="3"/>
  <c r="I178" i="3"/>
  <c r="L179" i="3"/>
  <c r="I179" i="3"/>
  <c r="L180" i="3"/>
  <c r="I180" i="3"/>
  <c r="L181" i="3"/>
  <c r="I181" i="3"/>
  <c r="L182" i="3"/>
  <c r="I182" i="3"/>
  <c r="L183" i="3"/>
  <c r="I183" i="3"/>
  <c r="L184" i="3"/>
  <c r="I184" i="3"/>
  <c r="L185" i="3"/>
  <c r="I185" i="3"/>
  <c r="L186" i="3"/>
  <c r="I186" i="3"/>
  <c r="L187" i="3"/>
  <c r="I187" i="3"/>
  <c r="L188" i="3"/>
  <c r="I188" i="3"/>
  <c r="L189" i="3"/>
  <c r="I189" i="3"/>
  <c r="L190" i="3"/>
  <c r="I190" i="3"/>
  <c r="L191" i="3"/>
  <c r="I191" i="3"/>
  <c r="L192" i="3"/>
  <c r="I192" i="3"/>
  <c r="L193" i="3"/>
  <c r="I193" i="3"/>
  <c r="L194" i="3"/>
  <c r="I194" i="3"/>
  <c r="L195" i="3"/>
  <c r="I195" i="3"/>
  <c r="L196" i="3"/>
  <c r="I196" i="3"/>
  <c r="L197" i="3"/>
  <c r="I197" i="3"/>
  <c r="L198" i="3"/>
  <c r="I198" i="3"/>
  <c r="L199" i="3"/>
  <c r="I199" i="3"/>
  <c r="L200" i="3"/>
  <c r="I200" i="3"/>
  <c r="L201" i="3"/>
  <c r="I201" i="3"/>
  <c r="L202" i="3"/>
  <c r="I202" i="3"/>
  <c r="L203" i="3"/>
  <c r="I203" i="3"/>
  <c r="L204" i="3"/>
  <c r="I204" i="3"/>
  <c r="L205" i="3"/>
  <c r="I205" i="3"/>
  <c r="L206" i="3"/>
  <c r="I206" i="3"/>
  <c r="L207" i="3"/>
  <c r="I207" i="3"/>
  <c r="L208" i="3"/>
  <c r="I208" i="3"/>
  <c r="L209" i="3"/>
  <c r="I209" i="3"/>
  <c r="L210" i="3"/>
  <c r="I210" i="3"/>
  <c r="L211" i="3"/>
  <c r="I211" i="3"/>
  <c r="L212" i="3"/>
  <c r="I212" i="3"/>
  <c r="L213" i="3"/>
  <c r="I213" i="3"/>
  <c r="L214" i="3"/>
  <c r="I214" i="3"/>
  <c r="L215" i="3"/>
  <c r="I215" i="3"/>
  <c r="L216" i="3"/>
  <c r="I216" i="3"/>
  <c r="L217" i="3"/>
  <c r="I217" i="3"/>
  <c r="L218" i="3"/>
  <c r="I218" i="3"/>
  <c r="L219" i="3"/>
  <c r="I219" i="3"/>
  <c r="L220" i="3"/>
  <c r="I220" i="3"/>
  <c r="L221" i="3"/>
  <c r="I221" i="3"/>
  <c r="L222" i="3"/>
  <c r="I222" i="3"/>
  <c r="L223" i="3"/>
  <c r="I223" i="3"/>
  <c r="L224" i="3"/>
  <c r="I224" i="3"/>
  <c r="L225" i="3"/>
  <c r="I225" i="3"/>
  <c r="L226" i="3"/>
  <c r="I226" i="3"/>
  <c r="L227" i="3"/>
  <c r="I227" i="3"/>
  <c r="L228" i="3"/>
  <c r="I228" i="3"/>
  <c r="L229" i="3"/>
  <c r="I229" i="3"/>
  <c r="L230" i="3"/>
  <c r="I230" i="3"/>
  <c r="L231" i="3"/>
  <c r="I231" i="3"/>
  <c r="L232" i="3"/>
  <c r="I232" i="3"/>
  <c r="L233" i="3"/>
  <c r="I233" i="3"/>
  <c r="L234" i="3"/>
  <c r="I234" i="3"/>
  <c r="L235" i="3"/>
  <c r="I235" i="3"/>
  <c r="L236" i="3"/>
  <c r="I236" i="3"/>
  <c r="L237" i="3"/>
  <c r="I237" i="3"/>
  <c r="L238" i="3"/>
  <c r="I238" i="3"/>
  <c r="L239" i="3"/>
  <c r="I239" i="3"/>
  <c r="L240" i="3"/>
  <c r="I240" i="3"/>
  <c r="L241" i="3"/>
  <c r="I241" i="3"/>
  <c r="L242" i="3"/>
  <c r="I242" i="3"/>
  <c r="L243" i="3"/>
  <c r="I243" i="3"/>
  <c r="L244" i="3"/>
  <c r="I244" i="3"/>
  <c r="L245" i="3"/>
  <c r="I245" i="3"/>
  <c r="L246" i="3"/>
  <c r="I246" i="3"/>
  <c r="L247" i="3"/>
  <c r="I247" i="3"/>
  <c r="L248" i="3"/>
  <c r="I248" i="3"/>
  <c r="L249" i="3"/>
  <c r="I249" i="3"/>
  <c r="L250" i="3"/>
  <c r="I250" i="3"/>
  <c r="L251" i="3"/>
  <c r="I251" i="3"/>
  <c r="L252" i="3"/>
  <c r="I252" i="3"/>
  <c r="L253" i="3"/>
  <c r="I253" i="3"/>
  <c r="L254" i="3"/>
  <c r="I254" i="3"/>
  <c r="L255" i="3"/>
  <c r="I255" i="3"/>
  <c r="L256" i="3"/>
  <c r="I256" i="3"/>
  <c r="L257" i="3"/>
  <c r="I257" i="3"/>
  <c r="L258" i="3"/>
  <c r="I258" i="3"/>
  <c r="L259" i="3"/>
  <c r="I259" i="3"/>
  <c r="L260" i="3"/>
  <c r="I260" i="3"/>
  <c r="L261" i="3"/>
  <c r="I261" i="3"/>
  <c r="L262" i="3"/>
  <c r="I262" i="3"/>
  <c r="L263" i="3"/>
  <c r="I263" i="3"/>
  <c r="L264" i="3"/>
  <c r="I264" i="3"/>
  <c r="L265" i="3"/>
  <c r="I265" i="3"/>
  <c r="L266" i="3"/>
  <c r="I266" i="3"/>
  <c r="L267" i="3"/>
  <c r="I267" i="3"/>
  <c r="L268" i="3"/>
  <c r="I268" i="3"/>
  <c r="L269" i="3"/>
  <c r="I269" i="3"/>
  <c r="L270" i="3"/>
  <c r="I270" i="3"/>
  <c r="L271" i="3"/>
  <c r="I271" i="3"/>
  <c r="L272" i="3"/>
  <c r="I272" i="3"/>
  <c r="L273" i="3"/>
  <c r="I273" i="3"/>
  <c r="L274" i="3"/>
  <c r="I274" i="3"/>
  <c r="L275" i="3"/>
  <c r="I275" i="3"/>
  <c r="L276" i="3"/>
  <c r="I276" i="3"/>
  <c r="L277" i="3"/>
  <c r="I277" i="3"/>
  <c r="L278" i="3"/>
  <c r="I278" i="3"/>
  <c r="L279" i="3"/>
  <c r="I279" i="3"/>
  <c r="L280" i="3"/>
  <c r="I280" i="3"/>
  <c r="L281" i="3"/>
  <c r="I281" i="3"/>
  <c r="L282" i="3"/>
  <c r="I282" i="3"/>
  <c r="L283" i="3"/>
  <c r="I283" i="3"/>
  <c r="L284" i="3"/>
  <c r="I284" i="3"/>
  <c r="L285" i="3"/>
  <c r="I285" i="3"/>
  <c r="L286" i="3"/>
  <c r="I286" i="3"/>
  <c r="L287" i="3"/>
  <c r="I287" i="3"/>
  <c r="L288" i="3"/>
  <c r="I288" i="3"/>
  <c r="L289" i="3"/>
  <c r="I289" i="3"/>
  <c r="L290" i="3"/>
  <c r="I290" i="3"/>
  <c r="L291" i="3"/>
  <c r="I291" i="3"/>
  <c r="L292" i="3"/>
  <c r="I292" i="3"/>
  <c r="L293" i="3"/>
  <c r="I293" i="3"/>
  <c r="L294" i="3"/>
  <c r="I294" i="3"/>
  <c r="L295" i="3"/>
  <c r="I295" i="3"/>
  <c r="L296" i="3"/>
  <c r="I296" i="3"/>
  <c r="L297" i="3"/>
  <c r="I297" i="3"/>
  <c r="L298" i="3"/>
  <c r="I298" i="3"/>
  <c r="L299" i="3"/>
  <c r="I299" i="3"/>
  <c r="L300" i="3"/>
  <c r="I300" i="3"/>
  <c r="L301" i="3"/>
  <c r="I301" i="3"/>
  <c r="L302" i="3"/>
  <c r="I302" i="3"/>
  <c r="L303" i="3"/>
  <c r="I303" i="3"/>
  <c r="L304" i="3"/>
  <c r="I304" i="3"/>
  <c r="L305" i="3"/>
  <c r="I305" i="3"/>
  <c r="L306" i="3"/>
  <c r="I306" i="3"/>
  <c r="L307" i="3"/>
  <c r="I307" i="3"/>
  <c r="L308" i="3"/>
  <c r="I308" i="3"/>
  <c r="L309" i="3"/>
  <c r="I309" i="3"/>
  <c r="L310" i="3"/>
  <c r="I310" i="3"/>
  <c r="L311" i="3"/>
  <c r="I311" i="3"/>
  <c r="L312" i="3"/>
  <c r="I312" i="3"/>
  <c r="L313" i="3"/>
  <c r="I313" i="3"/>
  <c r="L314" i="3"/>
  <c r="I314" i="3"/>
  <c r="L315" i="3"/>
  <c r="I315" i="3"/>
  <c r="L316" i="3"/>
  <c r="I316" i="3"/>
  <c r="L317" i="3"/>
  <c r="I317" i="3"/>
  <c r="L318" i="3"/>
  <c r="I318" i="3"/>
  <c r="L319" i="3"/>
  <c r="I319" i="3"/>
  <c r="L320" i="3"/>
  <c r="I320" i="3"/>
  <c r="L321" i="3"/>
  <c r="I321" i="3"/>
  <c r="L322" i="3"/>
  <c r="I322" i="3"/>
  <c r="L323" i="3"/>
  <c r="I323" i="3"/>
  <c r="L324" i="3"/>
  <c r="I324" i="3"/>
  <c r="L325" i="3"/>
  <c r="I325" i="3"/>
  <c r="L326" i="3"/>
  <c r="I326" i="3"/>
  <c r="L327" i="3"/>
  <c r="I327" i="3"/>
  <c r="L328" i="3"/>
  <c r="I328" i="3"/>
  <c r="L329" i="3"/>
  <c r="I329" i="3"/>
  <c r="L330" i="3"/>
  <c r="I330" i="3"/>
  <c r="L331" i="3"/>
  <c r="I331" i="3"/>
  <c r="L332" i="3"/>
  <c r="I332" i="3"/>
  <c r="L333" i="3"/>
  <c r="I333" i="3"/>
  <c r="L334" i="3"/>
  <c r="I334" i="3"/>
  <c r="L335" i="3"/>
  <c r="I335" i="3"/>
  <c r="L336" i="3"/>
  <c r="I336" i="3"/>
  <c r="L337" i="3"/>
  <c r="I337" i="3"/>
  <c r="L338" i="3"/>
  <c r="I338" i="3"/>
  <c r="L339" i="3"/>
  <c r="I339" i="3"/>
  <c r="L340" i="3"/>
  <c r="I340" i="3"/>
  <c r="L341" i="3"/>
  <c r="I341" i="3"/>
  <c r="L342" i="3"/>
  <c r="I342" i="3"/>
  <c r="L343" i="3"/>
  <c r="I343" i="3"/>
  <c r="L344" i="3"/>
  <c r="I344" i="3"/>
  <c r="L345" i="3"/>
  <c r="I345" i="3"/>
  <c r="L346" i="3"/>
  <c r="I346" i="3"/>
  <c r="L347" i="3"/>
  <c r="I347" i="3"/>
  <c r="L348" i="3"/>
  <c r="I348" i="3"/>
  <c r="L349" i="3"/>
  <c r="I349" i="3"/>
  <c r="L350" i="3"/>
  <c r="I350" i="3"/>
  <c r="L351" i="3"/>
  <c r="I351" i="3"/>
  <c r="L352" i="3"/>
  <c r="I352" i="3"/>
  <c r="L353" i="3"/>
  <c r="I353" i="3"/>
  <c r="L354" i="3"/>
  <c r="I354" i="3"/>
  <c r="L355" i="3"/>
  <c r="I355" i="3"/>
  <c r="L356" i="3"/>
  <c r="I356" i="3"/>
  <c r="L357" i="3"/>
  <c r="I357" i="3"/>
  <c r="L358" i="3"/>
  <c r="I358" i="3"/>
  <c r="L359" i="3"/>
  <c r="I359" i="3"/>
  <c r="L360" i="3"/>
  <c r="I360" i="3"/>
  <c r="L361" i="3"/>
  <c r="I361" i="3"/>
  <c r="L362" i="3"/>
  <c r="I362" i="3"/>
  <c r="L363" i="3"/>
  <c r="I363" i="3"/>
  <c r="L364" i="3"/>
  <c r="I364" i="3"/>
  <c r="L365" i="3"/>
  <c r="I365" i="3"/>
  <c r="L366" i="3"/>
  <c r="I366" i="3"/>
  <c r="L367" i="3"/>
  <c r="I367" i="3"/>
  <c r="L368" i="3"/>
  <c r="I368" i="3"/>
  <c r="L369" i="3"/>
  <c r="I369" i="3"/>
  <c r="L370" i="3"/>
  <c r="I370" i="3"/>
  <c r="L371" i="3"/>
  <c r="I371" i="3"/>
  <c r="L372" i="3"/>
  <c r="I372" i="3"/>
  <c r="L373" i="3"/>
  <c r="I373" i="3"/>
  <c r="L374" i="3"/>
  <c r="I374" i="3"/>
  <c r="L375" i="3"/>
  <c r="I375" i="3"/>
  <c r="L376" i="3"/>
  <c r="I376" i="3"/>
  <c r="L377" i="3"/>
  <c r="I377" i="3"/>
  <c r="L378" i="3"/>
  <c r="I378" i="3"/>
  <c r="L379" i="3"/>
  <c r="I379" i="3"/>
  <c r="L380" i="3"/>
  <c r="I380" i="3"/>
  <c r="L381" i="3"/>
  <c r="I381" i="3"/>
  <c r="L382" i="3"/>
  <c r="I382" i="3"/>
  <c r="L383" i="3"/>
  <c r="I383" i="3"/>
  <c r="L384" i="3"/>
  <c r="I384" i="3"/>
  <c r="L385" i="3"/>
  <c r="I385" i="3"/>
  <c r="L386" i="3"/>
  <c r="I386" i="3"/>
  <c r="L387" i="3"/>
  <c r="I387" i="3"/>
  <c r="L388" i="3"/>
  <c r="I388" i="3"/>
  <c r="L389" i="3"/>
  <c r="I389" i="3"/>
  <c r="L390" i="3"/>
  <c r="I390" i="3"/>
  <c r="L391" i="3"/>
  <c r="I391" i="3"/>
  <c r="L392" i="3"/>
  <c r="I392" i="3"/>
  <c r="L393" i="3"/>
  <c r="I393" i="3"/>
  <c r="L394" i="3"/>
  <c r="I394" i="3"/>
  <c r="L395" i="3"/>
  <c r="I395" i="3"/>
  <c r="L396" i="3"/>
  <c r="I396" i="3"/>
  <c r="L397" i="3"/>
  <c r="I397" i="3"/>
  <c r="L398" i="3"/>
  <c r="I398" i="3"/>
  <c r="L399" i="3"/>
  <c r="I399" i="3"/>
  <c r="L400" i="3"/>
  <c r="I400" i="3"/>
  <c r="L401" i="3"/>
  <c r="I401" i="3"/>
  <c r="L402" i="3"/>
  <c r="I402" i="3"/>
  <c r="L403" i="3"/>
  <c r="I403" i="3"/>
  <c r="L404" i="3"/>
  <c r="I404" i="3"/>
  <c r="L405" i="3"/>
  <c r="I405" i="3"/>
  <c r="L406" i="3"/>
  <c r="I406" i="3"/>
  <c r="L407" i="3"/>
  <c r="I407" i="3"/>
  <c r="L408" i="3"/>
  <c r="I408" i="3"/>
  <c r="L409" i="3"/>
  <c r="I409" i="3"/>
  <c r="L410" i="3"/>
  <c r="I410" i="3"/>
  <c r="L411" i="3"/>
  <c r="I411" i="3"/>
  <c r="L412" i="3"/>
  <c r="I412" i="3"/>
  <c r="L413" i="3"/>
  <c r="I413" i="3"/>
  <c r="L414" i="3"/>
  <c r="I414" i="3"/>
  <c r="L415" i="3"/>
  <c r="I415" i="3"/>
  <c r="L416" i="3"/>
  <c r="I416" i="3"/>
  <c r="L417" i="3"/>
  <c r="I417" i="3"/>
  <c r="L418" i="3"/>
  <c r="I418" i="3"/>
  <c r="L419" i="3"/>
  <c r="I419" i="3"/>
  <c r="L420" i="3"/>
  <c r="I420" i="3"/>
  <c r="L421" i="3"/>
  <c r="I421" i="3"/>
  <c r="L422" i="3"/>
  <c r="I422" i="3"/>
  <c r="L423" i="3"/>
  <c r="I423" i="3"/>
  <c r="L424" i="3"/>
  <c r="I424" i="3"/>
  <c r="L425" i="3"/>
  <c r="I425" i="3"/>
  <c r="L426" i="3"/>
  <c r="I426" i="3"/>
  <c r="L427" i="3"/>
  <c r="I427" i="3"/>
  <c r="L428" i="3"/>
  <c r="I428" i="3"/>
  <c r="L429" i="3"/>
  <c r="I429" i="3"/>
  <c r="L430" i="3"/>
  <c r="I430" i="3"/>
  <c r="L431" i="3"/>
  <c r="I431" i="3"/>
  <c r="L432" i="3"/>
  <c r="I432" i="3"/>
  <c r="L433" i="3"/>
  <c r="I433" i="3"/>
  <c r="L434" i="3"/>
  <c r="I434" i="3"/>
  <c r="L435" i="3"/>
  <c r="I435" i="3"/>
  <c r="L436" i="3"/>
  <c r="I436" i="3"/>
  <c r="L437" i="3"/>
  <c r="I437" i="3"/>
  <c r="L438" i="3"/>
  <c r="I438" i="3"/>
  <c r="L439" i="3"/>
  <c r="I439" i="3"/>
  <c r="L440" i="3"/>
  <c r="I440" i="3"/>
  <c r="L441" i="3"/>
  <c r="I441" i="3"/>
  <c r="L442" i="3"/>
  <c r="I442" i="3"/>
  <c r="L443" i="3"/>
  <c r="I443" i="3"/>
  <c r="L444" i="3"/>
  <c r="I444" i="3"/>
  <c r="L445" i="3"/>
  <c r="I445" i="3"/>
  <c r="L446" i="3"/>
  <c r="I446" i="3"/>
  <c r="L447" i="3"/>
  <c r="I447" i="3"/>
  <c r="L448" i="3"/>
  <c r="I448" i="3"/>
  <c r="L449" i="3"/>
  <c r="I449" i="3"/>
  <c r="L450" i="3"/>
  <c r="I450" i="3"/>
  <c r="L451" i="3"/>
  <c r="I451" i="3"/>
  <c r="L452" i="3"/>
  <c r="I452" i="3"/>
  <c r="L453" i="3"/>
  <c r="I453" i="3"/>
  <c r="L454" i="3"/>
  <c r="I454" i="3"/>
  <c r="L455" i="3"/>
  <c r="I455" i="3"/>
  <c r="L456" i="3"/>
  <c r="I456" i="3"/>
  <c r="L457" i="3"/>
  <c r="I457" i="3"/>
  <c r="L458" i="3"/>
  <c r="I458" i="3"/>
  <c r="L459" i="3"/>
  <c r="I459" i="3"/>
  <c r="L460" i="3"/>
  <c r="I460" i="3"/>
  <c r="L461" i="3"/>
  <c r="I461" i="3"/>
  <c r="L462" i="3"/>
  <c r="I462" i="3"/>
  <c r="L463" i="3"/>
  <c r="I463" i="3"/>
  <c r="L464" i="3"/>
  <c r="I464" i="3"/>
  <c r="L465" i="3"/>
  <c r="I465" i="3"/>
  <c r="L466" i="3"/>
  <c r="I466" i="3"/>
  <c r="L467" i="3"/>
  <c r="I467" i="3"/>
  <c r="L468" i="3"/>
  <c r="I468" i="3"/>
  <c r="L469" i="3"/>
  <c r="I469" i="3"/>
  <c r="L470" i="3"/>
  <c r="I470" i="3"/>
  <c r="L471" i="3"/>
  <c r="I471" i="3"/>
  <c r="L472" i="3"/>
  <c r="I472" i="3"/>
  <c r="L473" i="3"/>
  <c r="I473" i="3"/>
  <c r="L474" i="3"/>
  <c r="I474" i="3"/>
  <c r="L475" i="3"/>
  <c r="I475" i="3"/>
  <c r="L476" i="3"/>
  <c r="I476" i="3"/>
  <c r="L477" i="3"/>
  <c r="I477" i="3"/>
  <c r="L478" i="3"/>
  <c r="I478" i="3"/>
  <c r="L479" i="3"/>
  <c r="I479" i="3"/>
  <c r="L480" i="3"/>
  <c r="I480" i="3"/>
  <c r="L481" i="3"/>
  <c r="I481" i="3"/>
  <c r="L482" i="3"/>
  <c r="I482" i="3"/>
  <c r="L483" i="3"/>
  <c r="I483" i="3"/>
  <c r="L484" i="3"/>
  <c r="I484" i="3"/>
  <c r="L485" i="3"/>
  <c r="I485" i="3"/>
  <c r="L486" i="3"/>
  <c r="I486" i="3"/>
  <c r="L487" i="3"/>
  <c r="I487" i="3"/>
  <c r="L488" i="3"/>
  <c r="I488" i="3"/>
  <c r="L489" i="3"/>
  <c r="I489" i="3"/>
  <c r="L490" i="3"/>
  <c r="I490" i="3"/>
  <c r="L491" i="3"/>
  <c r="I491" i="3"/>
  <c r="L492" i="3"/>
  <c r="I492" i="3"/>
  <c r="L493" i="3"/>
  <c r="I493" i="3"/>
  <c r="L494" i="3"/>
  <c r="I494" i="3"/>
  <c r="L495" i="3"/>
  <c r="I495" i="3"/>
  <c r="L496" i="3"/>
  <c r="I496" i="3"/>
  <c r="L497" i="3"/>
  <c r="I497" i="3"/>
  <c r="L498" i="3"/>
  <c r="I498" i="3"/>
  <c r="L499" i="3"/>
  <c r="I499" i="3"/>
  <c r="L500" i="3"/>
  <c r="I500" i="3"/>
  <c r="L501" i="3"/>
  <c r="I501" i="3"/>
  <c r="L502" i="3"/>
  <c r="I502" i="3"/>
  <c r="L503" i="3"/>
  <c r="I503" i="3"/>
  <c r="L504" i="3"/>
  <c r="I504" i="3"/>
  <c r="L505" i="3"/>
  <c r="I505" i="3"/>
  <c r="L506" i="3"/>
  <c r="I506" i="3"/>
  <c r="L507" i="3"/>
  <c r="I507" i="3"/>
  <c r="L508" i="3"/>
  <c r="I508" i="3"/>
  <c r="L509" i="3"/>
  <c r="I509" i="3"/>
  <c r="L510" i="3"/>
  <c r="I510" i="3"/>
  <c r="L511" i="3"/>
  <c r="I511" i="3"/>
  <c r="L512" i="3"/>
  <c r="I512" i="3"/>
  <c r="L513" i="3"/>
  <c r="I513" i="3"/>
  <c r="L514" i="3"/>
  <c r="I514" i="3"/>
  <c r="L515" i="3"/>
  <c r="I515" i="3"/>
  <c r="L516" i="3"/>
  <c r="I516" i="3"/>
  <c r="L517" i="3"/>
  <c r="I517" i="3"/>
  <c r="L518" i="3"/>
  <c r="I518" i="3"/>
  <c r="L519" i="3"/>
  <c r="I519" i="3"/>
  <c r="L520" i="3"/>
  <c r="I520" i="3"/>
  <c r="L521" i="3"/>
  <c r="I521" i="3"/>
  <c r="L522" i="3"/>
  <c r="I522" i="3"/>
  <c r="L523" i="3"/>
  <c r="I523" i="3"/>
  <c r="L524" i="3"/>
  <c r="I524" i="3"/>
  <c r="L525" i="3"/>
  <c r="I525" i="3"/>
  <c r="L526" i="3"/>
  <c r="I526" i="3"/>
  <c r="L527" i="3"/>
  <c r="I527" i="3"/>
  <c r="L528" i="3"/>
  <c r="I528" i="3"/>
  <c r="L529" i="3"/>
  <c r="I529" i="3"/>
  <c r="L530" i="3"/>
  <c r="I530" i="3"/>
  <c r="L531" i="3"/>
  <c r="I531" i="3"/>
  <c r="L532" i="3"/>
  <c r="I532" i="3"/>
  <c r="L533" i="3"/>
  <c r="I533" i="3"/>
  <c r="L534" i="3"/>
  <c r="I534" i="3"/>
  <c r="L535" i="3"/>
  <c r="I535" i="3"/>
  <c r="L536" i="3"/>
  <c r="I536" i="3"/>
  <c r="L537" i="3"/>
  <c r="I537" i="3"/>
  <c r="L538" i="3"/>
  <c r="I538" i="3"/>
  <c r="L539" i="3"/>
  <c r="I539" i="3"/>
  <c r="L540" i="3"/>
  <c r="I540" i="3"/>
  <c r="L541" i="3"/>
  <c r="I541" i="3"/>
  <c r="L542" i="3"/>
  <c r="I542" i="3"/>
  <c r="L543" i="3"/>
  <c r="I543" i="3"/>
  <c r="L544" i="3"/>
  <c r="I544" i="3"/>
  <c r="L545" i="3"/>
  <c r="I545" i="3"/>
  <c r="L546" i="3"/>
  <c r="I546" i="3"/>
  <c r="L547" i="3"/>
  <c r="I547" i="3"/>
  <c r="L548" i="3"/>
  <c r="I548" i="3"/>
  <c r="L549" i="3"/>
  <c r="I549" i="3"/>
  <c r="L550" i="3"/>
  <c r="I550" i="3"/>
  <c r="L551" i="3"/>
  <c r="I551" i="3"/>
  <c r="L552" i="3"/>
  <c r="I552" i="3"/>
  <c r="L553" i="3"/>
  <c r="I553" i="3"/>
  <c r="L554" i="3"/>
  <c r="I554" i="3"/>
  <c r="L555" i="3"/>
  <c r="I555" i="3"/>
  <c r="L556" i="3"/>
  <c r="I556" i="3"/>
  <c r="L557" i="3"/>
  <c r="I557" i="3"/>
  <c r="L558" i="3"/>
  <c r="I558" i="3"/>
  <c r="L559" i="3"/>
  <c r="I559" i="3"/>
  <c r="L560" i="3"/>
  <c r="I560" i="3"/>
  <c r="L561" i="3"/>
  <c r="I561" i="3"/>
  <c r="L562" i="3"/>
  <c r="I562" i="3"/>
  <c r="L563" i="3"/>
  <c r="I563" i="3"/>
  <c r="L564" i="3"/>
  <c r="I564" i="3"/>
  <c r="L565" i="3"/>
  <c r="I565" i="3"/>
  <c r="L566" i="3"/>
  <c r="I566" i="3"/>
  <c r="L567" i="3"/>
  <c r="I567" i="3"/>
  <c r="L568" i="3"/>
  <c r="I568" i="3"/>
  <c r="L569" i="3"/>
  <c r="I569" i="3"/>
  <c r="L570" i="3"/>
  <c r="I570" i="3"/>
  <c r="L571" i="3"/>
  <c r="I571" i="3"/>
  <c r="L572" i="3"/>
  <c r="I572" i="3"/>
  <c r="L573" i="3"/>
  <c r="I573" i="3"/>
  <c r="L574" i="3"/>
  <c r="I574" i="3"/>
  <c r="L575" i="3"/>
  <c r="I575" i="3"/>
  <c r="L576" i="3"/>
  <c r="I576" i="3"/>
  <c r="L577" i="3"/>
  <c r="I577" i="3"/>
  <c r="L578" i="3"/>
  <c r="I578" i="3"/>
  <c r="L579" i="3"/>
  <c r="I579" i="3"/>
  <c r="L580" i="3"/>
  <c r="I580" i="3"/>
  <c r="L581" i="3"/>
  <c r="I581" i="3"/>
  <c r="L582" i="3"/>
  <c r="I582" i="3"/>
  <c r="L583" i="3"/>
  <c r="I583" i="3"/>
  <c r="L584" i="3"/>
  <c r="I584" i="3"/>
  <c r="L585" i="3"/>
  <c r="I585" i="3"/>
  <c r="L586" i="3"/>
  <c r="I586" i="3"/>
  <c r="L587" i="3"/>
  <c r="I587" i="3"/>
  <c r="L588" i="3"/>
  <c r="I588" i="3"/>
  <c r="L589" i="3"/>
  <c r="I589" i="3"/>
  <c r="L590" i="3"/>
  <c r="I590" i="3"/>
  <c r="L591" i="3"/>
  <c r="I591" i="3"/>
  <c r="L592" i="3"/>
  <c r="I592" i="3"/>
  <c r="L593" i="3"/>
  <c r="I593" i="3"/>
  <c r="L594" i="3"/>
  <c r="I594" i="3"/>
  <c r="L595" i="3"/>
  <c r="I595" i="3"/>
  <c r="L596" i="3"/>
  <c r="I596" i="3"/>
  <c r="L597" i="3"/>
  <c r="I597" i="3"/>
  <c r="L598" i="3"/>
  <c r="I598" i="3"/>
  <c r="L599" i="3"/>
  <c r="I599" i="3"/>
  <c r="L600" i="3"/>
  <c r="I600" i="3"/>
  <c r="L601" i="3"/>
  <c r="I601" i="3"/>
  <c r="L602" i="3"/>
  <c r="I602" i="3"/>
  <c r="L603" i="3"/>
  <c r="I603" i="3"/>
  <c r="L604" i="3"/>
  <c r="I604" i="3"/>
  <c r="L605" i="3"/>
  <c r="I605" i="3"/>
  <c r="L606" i="3"/>
  <c r="I606" i="3"/>
  <c r="L607" i="3"/>
  <c r="I607" i="3"/>
  <c r="L608" i="3"/>
  <c r="I608" i="3"/>
  <c r="L609" i="3"/>
  <c r="I609" i="3"/>
  <c r="L610" i="3"/>
  <c r="I610" i="3"/>
  <c r="L611" i="3"/>
  <c r="I611" i="3"/>
  <c r="L612" i="3"/>
  <c r="I612" i="3"/>
  <c r="L613" i="3"/>
  <c r="I613" i="3"/>
  <c r="L614" i="3"/>
  <c r="I614" i="3"/>
  <c r="L615" i="3"/>
  <c r="I615" i="3"/>
  <c r="L616" i="3"/>
  <c r="I616" i="3"/>
  <c r="L617" i="3"/>
  <c r="I617" i="3"/>
  <c r="L618" i="3"/>
  <c r="I618" i="3"/>
  <c r="L619" i="3"/>
  <c r="I619" i="3"/>
  <c r="L620" i="3"/>
  <c r="I620" i="3"/>
  <c r="L621" i="3"/>
  <c r="I621" i="3"/>
  <c r="L622" i="3"/>
  <c r="I622" i="3"/>
  <c r="L623" i="3"/>
  <c r="I623" i="3"/>
  <c r="L624" i="3"/>
  <c r="I624" i="3"/>
  <c r="L625" i="3"/>
  <c r="I625" i="3"/>
  <c r="L626" i="3"/>
  <c r="I626" i="3"/>
  <c r="L627" i="3"/>
  <c r="I627" i="3"/>
  <c r="L628" i="3"/>
  <c r="I628" i="3"/>
  <c r="L629" i="3"/>
  <c r="I629" i="3"/>
  <c r="L630" i="3"/>
  <c r="I630" i="3"/>
  <c r="L631" i="3"/>
  <c r="I631" i="3"/>
  <c r="L632" i="3"/>
  <c r="I632" i="3"/>
  <c r="L633" i="3"/>
  <c r="I633" i="3"/>
  <c r="L634" i="3"/>
  <c r="I634" i="3"/>
  <c r="L635" i="3"/>
  <c r="I635" i="3"/>
  <c r="L636" i="3"/>
  <c r="I636" i="3"/>
  <c r="L637" i="3"/>
  <c r="I637" i="3"/>
  <c r="L638" i="3"/>
  <c r="I638" i="3"/>
  <c r="L639" i="3"/>
  <c r="I639" i="3"/>
  <c r="L640" i="3"/>
  <c r="I640" i="3"/>
  <c r="L641" i="3"/>
  <c r="I641" i="3"/>
  <c r="L642" i="3"/>
  <c r="I642" i="3"/>
  <c r="L643" i="3"/>
  <c r="I643" i="3"/>
  <c r="L644" i="3"/>
  <c r="I644" i="3"/>
  <c r="L645" i="3"/>
  <c r="I645" i="3"/>
  <c r="L646" i="3"/>
  <c r="I646" i="3"/>
  <c r="L647" i="3"/>
  <c r="I647" i="3"/>
  <c r="L648" i="3"/>
  <c r="I648" i="3"/>
  <c r="L649" i="3"/>
  <c r="I649" i="3"/>
  <c r="L650" i="3"/>
  <c r="I650" i="3"/>
  <c r="L651" i="3"/>
  <c r="I651" i="3"/>
  <c r="L652" i="3"/>
  <c r="I652" i="3"/>
  <c r="L653" i="3"/>
  <c r="I653" i="3"/>
  <c r="L654" i="3"/>
  <c r="I654" i="3"/>
  <c r="L655" i="3"/>
  <c r="I655" i="3"/>
  <c r="L656" i="3"/>
  <c r="I656" i="3"/>
  <c r="L657" i="3"/>
  <c r="I657" i="3"/>
  <c r="L658" i="3"/>
  <c r="I658" i="3"/>
  <c r="L659" i="3"/>
  <c r="I659" i="3"/>
  <c r="L660" i="3"/>
  <c r="I660" i="3"/>
  <c r="L661" i="3"/>
  <c r="I661" i="3"/>
  <c r="L662" i="3"/>
  <c r="I662" i="3"/>
  <c r="L663" i="3"/>
  <c r="I663" i="3"/>
  <c r="L664" i="3"/>
  <c r="I664" i="3"/>
  <c r="L665" i="3"/>
  <c r="I665" i="3"/>
  <c r="L666" i="3"/>
  <c r="I666" i="3"/>
  <c r="L667" i="3"/>
  <c r="I667" i="3"/>
  <c r="L668" i="3"/>
  <c r="I668" i="3"/>
  <c r="L669" i="3"/>
  <c r="I669" i="3"/>
  <c r="L670" i="3"/>
  <c r="I670" i="3"/>
  <c r="L671" i="3"/>
  <c r="I671" i="3"/>
  <c r="L672" i="3"/>
  <c r="I672" i="3"/>
  <c r="L673" i="3"/>
  <c r="I673" i="3"/>
  <c r="L674" i="3"/>
  <c r="I674" i="3"/>
  <c r="L675" i="3"/>
  <c r="I675" i="3"/>
  <c r="L676" i="3"/>
  <c r="I676" i="3"/>
  <c r="L677" i="3"/>
  <c r="I677" i="3"/>
  <c r="L678" i="3"/>
  <c r="I678" i="3"/>
  <c r="L679" i="3"/>
  <c r="I679" i="3"/>
  <c r="L680" i="3"/>
  <c r="I680" i="3"/>
  <c r="L681" i="3"/>
  <c r="I681" i="3"/>
  <c r="L682" i="3"/>
  <c r="I682" i="3"/>
  <c r="L683" i="3"/>
  <c r="I683" i="3"/>
  <c r="L684" i="3"/>
  <c r="I684" i="3"/>
  <c r="L685" i="3"/>
  <c r="I685" i="3"/>
  <c r="L686" i="3"/>
  <c r="I686" i="3"/>
  <c r="L687" i="3"/>
  <c r="I687" i="3"/>
  <c r="L688" i="3"/>
  <c r="I688" i="3"/>
  <c r="L689" i="3"/>
  <c r="I689" i="3"/>
  <c r="L690" i="3"/>
  <c r="I690" i="3"/>
  <c r="L691" i="3"/>
  <c r="I691" i="3"/>
  <c r="L692" i="3"/>
  <c r="I692" i="3"/>
  <c r="L693" i="3"/>
  <c r="I693" i="3"/>
  <c r="L694" i="3"/>
  <c r="I694" i="3"/>
  <c r="L695" i="3"/>
  <c r="I695" i="3"/>
  <c r="L696" i="3"/>
  <c r="I696" i="3"/>
  <c r="L697" i="3"/>
  <c r="I697" i="3"/>
  <c r="L698" i="3"/>
  <c r="I698" i="3"/>
  <c r="L699" i="3"/>
  <c r="I699" i="3"/>
  <c r="L700" i="3"/>
  <c r="I700" i="3"/>
  <c r="L701" i="3"/>
  <c r="I701" i="3"/>
  <c r="L702" i="3"/>
  <c r="I702" i="3"/>
  <c r="L703" i="3"/>
  <c r="I703" i="3"/>
  <c r="L704" i="3"/>
  <c r="I704" i="3"/>
  <c r="L705" i="3"/>
  <c r="I705" i="3"/>
  <c r="L706" i="3"/>
  <c r="I706" i="3"/>
  <c r="L707" i="3"/>
  <c r="I707" i="3"/>
  <c r="L708" i="3"/>
  <c r="I708" i="3"/>
  <c r="L709" i="3"/>
  <c r="I709" i="3"/>
  <c r="L710" i="3"/>
  <c r="I710" i="3"/>
  <c r="L711" i="3"/>
  <c r="I711" i="3"/>
  <c r="L712" i="3"/>
  <c r="I712" i="3"/>
  <c r="L713" i="3"/>
  <c r="I713" i="3"/>
  <c r="L714" i="3"/>
  <c r="I714" i="3"/>
  <c r="L715" i="3"/>
  <c r="I715" i="3"/>
  <c r="L716" i="3"/>
  <c r="I716" i="3"/>
  <c r="L717" i="3"/>
  <c r="I717" i="3"/>
  <c r="L718" i="3"/>
  <c r="I718" i="3"/>
  <c r="L719" i="3"/>
  <c r="I719" i="3"/>
  <c r="L720" i="3"/>
  <c r="I720" i="3"/>
  <c r="L721" i="3"/>
  <c r="I721" i="3"/>
  <c r="L722" i="3"/>
  <c r="I722" i="3"/>
  <c r="L723" i="3"/>
  <c r="I723" i="3"/>
  <c r="L724" i="3"/>
  <c r="I724" i="3"/>
  <c r="L725" i="3"/>
  <c r="I725" i="3"/>
  <c r="L726" i="3"/>
  <c r="I726" i="3"/>
  <c r="L727" i="3"/>
  <c r="I727" i="3"/>
  <c r="L728" i="3"/>
  <c r="I728" i="3"/>
  <c r="L729" i="3"/>
  <c r="I729" i="3"/>
  <c r="L730" i="3"/>
  <c r="I730" i="3"/>
  <c r="L731" i="3"/>
  <c r="I731" i="3"/>
  <c r="L732" i="3"/>
  <c r="I732" i="3"/>
  <c r="L733" i="3"/>
  <c r="I733" i="3"/>
  <c r="L734" i="3"/>
  <c r="I734" i="3"/>
  <c r="L735" i="3"/>
  <c r="I735" i="3"/>
  <c r="L736" i="3"/>
  <c r="I736" i="3"/>
  <c r="L737" i="3"/>
  <c r="I737" i="3"/>
  <c r="L738" i="3"/>
  <c r="I738" i="3"/>
  <c r="L739" i="3"/>
  <c r="I739" i="3"/>
  <c r="L740" i="3"/>
  <c r="I740" i="3"/>
  <c r="L741" i="3"/>
  <c r="I741" i="3"/>
  <c r="L742" i="3"/>
  <c r="I742" i="3"/>
  <c r="L743" i="3"/>
  <c r="I743" i="3"/>
  <c r="L744" i="3"/>
  <c r="I744" i="3"/>
  <c r="L745" i="3"/>
  <c r="I745" i="3"/>
  <c r="L746" i="3"/>
  <c r="I746" i="3"/>
  <c r="L747" i="3"/>
  <c r="I747" i="3"/>
  <c r="L748" i="3"/>
  <c r="I748" i="3"/>
  <c r="L749" i="3"/>
  <c r="I749" i="3"/>
  <c r="L750" i="3"/>
  <c r="I750" i="3"/>
  <c r="L751" i="3"/>
  <c r="I751" i="3"/>
  <c r="L752" i="3"/>
  <c r="I752" i="3"/>
  <c r="L753" i="3"/>
  <c r="I753" i="3"/>
  <c r="L754" i="3"/>
  <c r="I754" i="3"/>
  <c r="L755" i="3"/>
  <c r="I755" i="3"/>
  <c r="L756" i="3"/>
  <c r="I756" i="3"/>
  <c r="L757" i="3"/>
  <c r="I757" i="3"/>
  <c r="L758" i="3"/>
  <c r="I758" i="3"/>
  <c r="L759" i="3"/>
  <c r="I759" i="3"/>
  <c r="L760" i="3"/>
  <c r="I760" i="3"/>
  <c r="L761" i="3"/>
  <c r="I761" i="3"/>
  <c r="L762" i="3"/>
  <c r="I762" i="3"/>
  <c r="L763" i="3"/>
  <c r="I763" i="3"/>
  <c r="L764" i="3"/>
  <c r="I764" i="3"/>
  <c r="L765" i="3"/>
  <c r="I765" i="3"/>
  <c r="L766" i="3"/>
  <c r="I766" i="3"/>
  <c r="L767" i="3"/>
  <c r="I767" i="3"/>
  <c r="L768" i="3"/>
  <c r="I768" i="3"/>
  <c r="L769" i="3"/>
  <c r="I769" i="3"/>
  <c r="L770" i="3"/>
  <c r="I770" i="3"/>
  <c r="L771" i="3"/>
  <c r="I771" i="3"/>
  <c r="L772" i="3"/>
  <c r="I772" i="3"/>
  <c r="L773" i="3"/>
  <c r="I773" i="3"/>
  <c r="L774" i="3"/>
  <c r="I774" i="3"/>
  <c r="L775" i="3"/>
  <c r="I775" i="3"/>
  <c r="L776" i="3"/>
  <c r="I776" i="3"/>
  <c r="L777" i="3"/>
  <c r="I777" i="3"/>
  <c r="L778" i="3"/>
  <c r="I778" i="3"/>
  <c r="L779" i="3"/>
  <c r="I779" i="3"/>
  <c r="L780" i="3"/>
  <c r="I780" i="3"/>
  <c r="L781" i="3"/>
  <c r="I781" i="3"/>
  <c r="L782" i="3"/>
  <c r="I782" i="3"/>
  <c r="L783" i="3"/>
  <c r="I783" i="3"/>
  <c r="L784" i="3"/>
  <c r="I784" i="3"/>
  <c r="L785" i="3"/>
  <c r="I785" i="3"/>
  <c r="L786" i="3"/>
  <c r="I786" i="3"/>
  <c r="L787" i="3"/>
  <c r="I787" i="3"/>
  <c r="L788" i="3"/>
  <c r="I788" i="3"/>
  <c r="L789" i="3"/>
  <c r="I789" i="3"/>
  <c r="L790" i="3"/>
  <c r="I790" i="3"/>
  <c r="L791" i="3"/>
  <c r="I791" i="3"/>
  <c r="L792" i="3"/>
  <c r="I792" i="3"/>
  <c r="L793" i="3"/>
  <c r="I793" i="3"/>
  <c r="L794" i="3"/>
  <c r="I794" i="3"/>
  <c r="L795" i="3"/>
  <c r="I795" i="3"/>
  <c r="L796" i="3"/>
  <c r="I796" i="3"/>
  <c r="L797" i="3"/>
  <c r="I797" i="3"/>
  <c r="L798" i="3"/>
  <c r="I798" i="3"/>
  <c r="L799" i="3"/>
  <c r="I799" i="3"/>
  <c r="L800" i="3"/>
  <c r="I800" i="3"/>
  <c r="L801" i="3"/>
  <c r="I801" i="3"/>
  <c r="L802" i="3"/>
  <c r="I802" i="3"/>
  <c r="L803" i="3"/>
  <c r="I803" i="3"/>
  <c r="L804" i="3"/>
  <c r="I804" i="3"/>
  <c r="L805" i="3"/>
  <c r="I805" i="3"/>
  <c r="L806" i="3"/>
  <c r="I806" i="3"/>
  <c r="L807" i="3"/>
  <c r="I807" i="3"/>
  <c r="L808" i="3"/>
  <c r="I808" i="3"/>
  <c r="L809" i="3"/>
  <c r="I809" i="3"/>
  <c r="L810" i="3"/>
  <c r="I810" i="3"/>
  <c r="L811" i="3"/>
  <c r="I811" i="3"/>
  <c r="L812" i="3"/>
  <c r="I812" i="3"/>
  <c r="L813" i="3"/>
  <c r="I813" i="3"/>
  <c r="L814" i="3"/>
  <c r="I814" i="3"/>
  <c r="L815" i="3"/>
  <c r="I815" i="3"/>
  <c r="L816" i="3"/>
  <c r="I816" i="3"/>
  <c r="L817" i="3"/>
  <c r="I817" i="3"/>
  <c r="L818" i="3"/>
  <c r="I818" i="3"/>
  <c r="L819" i="3"/>
  <c r="I819" i="3"/>
  <c r="L820" i="3"/>
  <c r="I820" i="3"/>
  <c r="L821" i="3"/>
  <c r="I821" i="3"/>
  <c r="L822" i="3"/>
  <c r="I822" i="3"/>
  <c r="L823" i="3"/>
  <c r="I823" i="3"/>
  <c r="L824" i="3"/>
  <c r="I824" i="3"/>
  <c r="L825" i="3"/>
  <c r="I825" i="3"/>
  <c r="L826" i="3"/>
  <c r="I826" i="3"/>
  <c r="L827" i="3"/>
  <c r="I827" i="3"/>
  <c r="L828" i="3"/>
  <c r="I828" i="3"/>
  <c r="L829" i="3"/>
  <c r="I829" i="3"/>
  <c r="L830" i="3"/>
  <c r="I830" i="3"/>
  <c r="L831" i="3"/>
  <c r="I831" i="3"/>
  <c r="L832" i="3"/>
  <c r="I832" i="3"/>
  <c r="L833" i="3"/>
  <c r="I833" i="3"/>
  <c r="L834" i="3"/>
  <c r="I834" i="3"/>
  <c r="L835" i="3"/>
  <c r="I835" i="3"/>
  <c r="L836" i="3"/>
  <c r="I836" i="3"/>
  <c r="L837" i="3"/>
  <c r="I837" i="3"/>
  <c r="L838" i="3"/>
  <c r="I838" i="3"/>
  <c r="L839" i="3"/>
  <c r="I839" i="3"/>
  <c r="L840" i="3"/>
  <c r="I840" i="3"/>
  <c r="L841" i="3"/>
  <c r="I841" i="3"/>
  <c r="L842" i="3"/>
  <c r="I842" i="3"/>
  <c r="L843" i="3"/>
  <c r="I843" i="3"/>
  <c r="L844" i="3"/>
  <c r="I844" i="3"/>
  <c r="L845" i="3"/>
  <c r="I845" i="3"/>
  <c r="L846" i="3"/>
  <c r="I846" i="3"/>
  <c r="L847" i="3"/>
  <c r="I847" i="3"/>
  <c r="L848" i="3"/>
  <c r="I848" i="3"/>
  <c r="L849" i="3"/>
  <c r="I849" i="3"/>
  <c r="L850" i="3"/>
  <c r="I850" i="3"/>
  <c r="L851" i="3"/>
  <c r="I851" i="3"/>
  <c r="L852" i="3"/>
  <c r="I852" i="3"/>
  <c r="L853" i="3"/>
  <c r="I853" i="3"/>
  <c r="L854" i="3"/>
  <c r="I854" i="3"/>
  <c r="L855" i="3"/>
  <c r="I855" i="3"/>
  <c r="L856" i="3"/>
  <c r="I856" i="3"/>
  <c r="L857" i="3"/>
  <c r="I857" i="3"/>
  <c r="L858" i="3"/>
  <c r="I858" i="3"/>
  <c r="L859" i="3"/>
  <c r="I859" i="3"/>
  <c r="L860" i="3"/>
  <c r="I860" i="3"/>
  <c r="L861" i="3"/>
  <c r="I861" i="3"/>
  <c r="L862" i="3"/>
  <c r="I862" i="3"/>
  <c r="L863" i="3"/>
  <c r="I863" i="3"/>
  <c r="L864" i="3"/>
  <c r="I864" i="3"/>
  <c r="L865" i="3"/>
  <c r="I865" i="3"/>
  <c r="L866" i="3"/>
  <c r="I866" i="3"/>
  <c r="L867" i="3"/>
  <c r="I867" i="3"/>
  <c r="L868" i="3"/>
  <c r="I868" i="3"/>
  <c r="L869" i="3"/>
  <c r="I869" i="3"/>
  <c r="L870" i="3"/>
  <c r="I870" i="3"/>
  <c r="L871" i="3"/>
  <c r="I871" i="3"/>
  <c r="L872" i="3"/>
  <c r="I872" i="3"/>
  <c r="L873" i="3"/>
  <c r="I873" i="3"/>
  <c r="L874" i="3"/>
  <c r="I874" i="3"/>
  <c r="L875" i="3"/>
  <c r="I875" i="3"/>
  <c r="L876" i="3"/>
  <c r="I876" i="3"/>
  <c r="L877" i="3"/>
  <c r="I877" i="3"/>
  <c r="L878" i="3"/>
  <c r="I878" i="3"/>
  <c r="L879" i="3"/>
  <c r="I879" i="3"/>
  <c r="L880" i="3"/>
  <c r="I880" i="3"/>
  <c r="L881" i="3"/>
  <c r="I881" i="3"/>
  <c r="L882" i="3"/>
  <c r="I882" i="3"/>
  <c r="L883" i="3"/>
  <c r="I883" i="3"/>
  <c r="L884" i="3"/>
  <c r="I884" i="3"/>
  <c r="L885" i="3"/>
  <c r="I885" i="3"/>
  <c r="L886" i="3"/>
  <c r="I886" i="3"/>
  <c r="L887" i="3"/>
  <c r="I887" i="3"/>
  <c r="L888" i="3"/>
  <c r="I888" i="3"/>
  <c r="L889" i="3"/>
  <c r="I889" i="3"/>
  <c r="L890" i="3"/>
  <c r="I890" i="3"/>
  <c r="L891" i="3"/>
  <c r="I891" i="3"/>
  <c r="L892" i="3"/>
  <c r="I892" i="3"/>
  <c r="L893" i="3"/>
  <c r="I893" i="3"/>
  <c r="L894" i="3"/>
  <c r="I894" i="3"/>
  <c r="L895" i="3"/>
  <c r="I895" i="3"/>
  <c r="L896" i="3"/>
  <c r="I896" i="3"/>
  <c r="L897" i="3"/>
  <c r="I897" i="3"/>
  <c r="L898" i="3"/>
  <c r="I898" i="3"/>
  <c r="L899" i="3"/>
  <c r="I899" i="3"/>
  <c r="L900" i="3"/>
  <c r="I900" i="3"/>
  <c r="L901" i="3"/>
  <c r="I901" i="3"/>
  <c r="L902" i="3"/>
  <c r="I902" i="3"/>
  <c r="L903" i="3"/>
  <c r="I903" i="3"/>
  <c r="L904" i="3"/>
  <c r="I904" i="3"/>
  <c r="L905" i="3"/>
  <c r="I905" i="3"/>
  <c r="L906" i="3"/>
  <c r="I906" i="3"/>
  <c r="L907" i="3"/>
  <c r="I907" i="3"/>
  <c r="L908" i="3"/>
  <c r="I908" i="3"/>
  <c r="L909" i="3"/>
  <c r="I909" i="3"/>
  <c r="L910" i="3"/>
  <c r="I910" i="3"/>
  <c r="L911" i="3"/>
  <c r="I911" i="3"/>
  <c r="L912" i="3"/>
  <c r="I912" i="3"/>
  <c r="L913" i="3"/>
  <c r="I913" i="3"/>
  <c r="L914" i="3"/>
  <c r="I914" i="3"/>
  <c r="L915" i="3"/>
  <c r="I915" i="3"/>
  <c r="L916" i="3"/>
  <c r="I916" i="3"/>
  <c r="L917" i="3"/>
  <c r="I917" i="3"/>
  <c r="L918" i="3"/>
  <c r="I918" i="3"/>
  <c r="L919" i="3"/>
  <c r="I919" i="3"/>
  <c r="L920" i="3"/>
  <c r="I920" i="3"/>
  <c r="L921" i="3"/>
  <c r="I921" i="3"/>
  <c r="L922" i="3"/>
  <c r="I922" i="3"/>
  <c r="L923" i="3"/>
  <c r="I923" i="3"/>
  <c r="L924" i="3"/>
  <c r="I924" i="3"/>
  <c r="L925" i="3"/>
  <c r="I925" i="3"/>
  <c r="L926" i="3"/>
  <c r="I926" i="3"/>
  <c r="L927" i="3"/>
  <c r="I927" i="3"/>
  <c r="L928" i="3"/>
  <c r="I928" i="3"/>
  <c r="L929" i="3"/>
  <c r="I929" i="3"/>
  <c r="L930" i="3"/>
  <c r="I930" i="3"/>
  <c r="L931" i="3"/>
  <c r="I931" i="3"/>
  <c r="L932" i="3"/>
  <c r="I932" i="3"/>
  <c r="L933" i="3"/>
  <c r="I933" i="3"/>
  <c r="L934" i="3"/>
  <c r="I934" i="3"/>
  <c r="L935" i="3"/>
  <c r="I935" i="3"/>
  <c r="L936" i="3"/>
  <c r="I936" i="3"/>
  <c r="L937" i="3"/>
  <c r="I937" i="3"/>
  <c r="L938" i="3"/>
  <c r="I938" i="3"/>
  <c r="L939" i="3"/>
  <c r="I939" i="3"/>
  <c r="L940" i="3"/>
  <c r="I940" i="3"/>
  <c r="L941" i="3"/>
  <c r="I941" i="3"/>
  <c r="L942" i="3"/>
  <c r="I942" i="3"/>
  <c r="L943" i="3"/>
  <c r="I943" i="3"/>
  <c r="L944" i="3"/>
  <c r="I944" i="3"/>
  <c r="L945" i="3"/>
  <c r="I945" i="3"/>
  <c r="L946" i="3"/>
  <c r="I946" i="3"/>
  <c r="L947" i="3"/>
  <c r="I947" i="3"/>
  <c r="L948" i="3"/>
  <c r="I948" i="3"/>
  <c r="L949" i="3"/>
  <c r="I949" i="3"/>
  <c r="L950" i="3"/>
  <c r="I950" i="3"/>
  <c r="L951" i="3"/>
  <c r="I951" i="3"/>
  <c r="L952" i="3"/>
  <c r="I952" i="3"/>
  <c r="L953" i="3"/>
  <c r="I953" i="3"/>
  <c r="L954" i="3"/>
  <c r="I954" i="3"/>
  <c r="L955" i="3"/>
  <c r="I955" i="3"/>
  <c r="L956" i="3"/>
  <c r="I956" i="3"/>
  <c r="L957" i="3"/>
  <c r="I957" i="3"/>
  <c r="L958" i="3"/>
  <c r="I958" i="3"/>
  <c r="L959" i="3"/>
  <c r="I959" i="3"/>
  <c r="L960" i="3"/>
  <c r="I960" i="3"/>
  <c r="L961" i="3"/>
  <c r="I961" i="3"/>
  <c r="L962" i="3"/>
  <c r="I962" i="3"/>
  <c r="L963" i="3"/>
  <c r="I963" i="3"/>
  <c r="L964" i="3"/>
  <c r="I964" i="3"/>
  <c r="L965" i="3"/>
  <c r="I965" i="3"/>
  <c r="L966" i="3"/>
  <c r="I966" i="3"/>
  <c r="L967" i="3"/>
  <c r="I967" i="3"/>
  <c r="L968" i="3"/>
  <c r="I968" i="3"/>
  <c r="L969" i="3"/>
  <c r="I969" i="3"/>
  <c r="L970" i="3"/>
  <c r="I970" i="3"/>
  <c r="L971" i="3"/>
  <c r="I971" i="3"/>
  <c r="L972" i="3"/>
  <c r="I972" i="3"/>
  <c r="L973" i="3"/>
  <c r="I973" i="3"/>
  <c r="L974" i="3"/>
  <c r="I974" i="3"/>
  <c r="L975" i="3"/>
  <c r="I975" i="3"/>
  <c r="L976" i="3"/>
  <c r="I976" i="3"/>
  <c r="L977" i="3"/>
  <c r="I977" i="3"/>
  <c r="L978" i="3"/>
  <c r="I978" i="3"/>
  <c r="L979" i="3"/>
  <c r="I979" i="3"/>
  <c r="L980" i="3"/>
  <c r="I980" i="3"/>
  <c r="L981" i="3"/>
  <c r="I981" i="3"/>
  <c r="L982" i="3"/>
  <c r="I982" i="3"/>
  <c r="L983" i="3"/>
  <c r="I983" i="3"/>
  <c r="L984" i="3"/>
  <c r="I984" i="3"/>
  <c r="L985" i="3"/>
  <c r="I985" i="3"/>
  <c r="L986" i="3"/>
  <c r="I986" i="3"/>
  <c r="L987" i="3"/>
  <c r="I987" i="3"/>
  <c r="L988" i="3"/>
  <c r="I988" i="3"/>
  <c r="L989" i="3"/>
  <c r="I989" i="3"/>
  <c r="L990" i="3"/>
  <c r="I990" i="3"/>
  <c r="L991" i="3"/>
  <c r="I991" i="3"/>
  <c r="L992" i="3"/>
  <c r="I992" i="3"/>
  <c r="L993" i="3"/>
  <c r="I993" i="3"/>
  <c r="L994" i="3"/>
  <c r="I994" i="3"/>
  <c r="L995" i="3"/>
  <c r="I995" i="3"/>
  <c r="L996" i="3"/>
  <c r="I996" i="3"/>
  <c r="L997" i="3"/>
  <c r="I997" i="3"/>
  <c r="L998" i="3"/>
  <c r="I998" i="3"/>
  <c r="L999" i="3"/>
  <c r="I999" i="3"/>
  <c r="L1000" i="3"/>
  <c r="I1000" i="3"/>
  <c r="L1001" i="3"/>
  <c r="I1001" i="3"/>
  <c r="L1002" i="3"/>
  <c r="I1002" i="3"/>
  <c r="L1003" i="3"/>
  <c r="I1003" i="3"/>
  <c r="L1004" i="3"/>
  <c r="I1004" i="3"/>
  <c r="L1005" i="3"/>
  <c r="I1005" i="3"/>
  <c r="L1006" i="3"/>
  <c r="I1006" i="3"/>
  <c r="L1007" i="3"/>
  <c r="I1007" i="3"/>
  <c r="L1008" i="3"/>
  <c r="I1008" i="3"/>
  <c r="L1009" i="3"/>
  <c r="I1009" i="3"/>
  <c r="L1010" i="3"/>
  <c r="I1010" i="3"/>
  <c r="L1011" i="3"/>
  <c r="I1011" i="3"/>
  <c r="L1012" i="3"/>
  <c r="I1012" i="3"/>
  <c r="L1013" i="3"/>
  <c r="I1013" i="3"/>
  <c r="L1014" i="3"/>
  <c r="I1014" i="3"/>
  <c r="L1015" i="3"/>
  <c r="I1015" i="3"/>
  <c r="L1016" i="3"/>
  <c r="I1016" i="3"/>
  <c r="L1017" i="3"/>
  <c r="I1017" i="3"/>
  <c r="L1018" i="3"/>
  <c r="I1018" i="3"/>
  <c r="L1019" i="3"/>
  <c r="I1019" i="3"/>
  <c r="L1020" i="3"/>
  <c r="I1020" i="3"/>
  <c r="L1021" i="3"/>
  <c r="I1021" i="3"/>
  <c r="L1022" i="3"/>
  <c r="I1022" i="3"/>
  <c r="L1023" i="3"/>
  <c r="I1023" i="3"/>
  <c r="L1024" i="3"/>
  <c r="I1024" i="3"/>
  <c r="L1025" i="3"/>
  <c r="I1025" i="3"/>
  <c r="L1026" i="3"/>
  <c r="I1026" i="3"/>
  <c r="L1027" i="3"/>
  <c r="I1027" i="3"/>
  <c r="L1028" i="3"/>
  <c r="I1028" i="3"/>
  <c r="L1029" i="3"/>
  <c r="I1029" i="3"/>
  <c r="L1030" i="3"/>
  <c r="I1030" i="3"/>
  <c r="L1031" i="3"/>
  <c r="I1031" i="3"/>
  <c r="L1032" i="3"/>
  <c r="I1032" i="3"/>
  <c r="L1033" i="3"/>
  <c r="I1033" i="3"/>
  <c r="L1034" i="3"/>
  <c r="I1034" i="3"/>
  <c r="L1035" i="3"/>
  <c r="I1035" i="3"/>
  <c r="L1036" i="3"/>
  <c r="I1036" i="3"/>
  <c r="L1037" i="3"/>
  <c r="I1037" i="3"/>
  <c r="L1038" i="3"/>
  <c r="I1038" i="3"/>
  <c r="L1039" i="3"/>
  <c r="I1039" i="3"/>
  <c r="L1040" i="3"/>
  <c r="I1040" i="3"/>
  <c r="L1041" i="3"/>
  <c r="I1041" i="3"/>
  <c r="L1042" i="3"/>
  <c r="I1042" i="3"/>
  <c r="L1043" i="3"/>
  <c r="I1043" i="3"/>
  <c r="L1044" i="3"/>
  <c r="I1044" i="3"/>
  <c r="L1045" i="3"/>
  <c r="I1045" i="3"/>
  <c r="L1046" i="3"/>
  <c r="I1046" i="3"/>
  <c r="L1047" i="3"/>
  <c r="I1047" i="3"/>
  <c r="L1048" i="3"/>
  <c r="I1048" i="3"/>
  <c r="L1049" i="3"/>
  <c r="I1049" i="3"/>
  <c r="L1050" i="3"/>
  <c r="I1050" i="3"/>
  <c r="L1051" i="3"/>
  <c r="I1051" i="3"/>
  <c r="L1052" i="3"/>
  <c r="I1052" i="3"/>
  <c r="L1053" i="3"/>
  <c r="I1053" i="3"/>
  <c r="L1054" i="3"/>
  <c r="I1054" i="3"/>
  <c r="L1055" i="3"/>
  <c r="I1055" i="3"/>
  <c r="L1056" i="3"/>
  <c r="I1056" i="3"/>
  <c r="L1057" i="3"/>
  <c r="I1057" i="3"/>
  <c r="L1058" i="3"/>
  <c r="I1058" i="3"/>
  <c r="L1059" i="3"/>
  <c r="I1059" i="3"/>
  <c r="L1060" i="3"/>
  <c r="I1060" i="3"/>
  <c r="L1061" i="3"/>
  <c r="I1061" i="3"/>
  <c r="L1062" i="3"/>
  <c r="I1062" i="3"/>
  <c r="L1063" i="3"/>
  <c r="I1063" i="3"/>
  <c r="L1064" i="3"/>
  <c r="I1064" i="3"/>
  <c r="L1065" i="3"/>
  <c r="I1065" i="3"/>
  <c r="L1066" i="3"/>
  <c r="I1066" i="3"/>
  <c r="L1067" i="3"/>
  <c r="I1067" i="3"/>
  <c r="L1068" i="3"/>
  <c r="I1068" i="3"/>
  <c r="L1069" i="3"/>
  <c r="I1069" i="3"/>
  <c r="L1070" i="3"/>
  <c r="I1070" i="3"/>
  <c r="L1071" i="3"/>
  <c r="I1071" i="3"/>
  <c r="L1072" i="3"/>
  <c r="I1072" i="3"/>
  <c r="L1073" i="3"/>
  <c r="I1073" i="3"/>
  <c r="L1074" i="3"/>
  <c r="I1074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G16" i="3"/>
  <c r="F16" i="3"/>
  <c r="G26" i="3"/>
  <c r="F26" i="3"/>
  <c r="G35" i="3"/>
  <c r="F35" i="3"/>
  <c r="G6" i="3"/>
  <c r="F6" i="3"/>
  <c r="G7" i="3"/>
  <c r="F7" i="3"/>
  <c r="G8" i="3"/>
  <c r="F8" i="3"/>
  <c r="G9" i="3"/>
  <c r="F9" i="3"/>
  <c r="G10" i="3"/>
  <c r="F10" i="3"/>
  <c r="G12" i="3"/>
  <c r="F12" i="3"/>
  <c r="G13" i="3"/>
  <c r="F13" i="3"/>
  <c r="G14" i="3"/>
  <c r="F14" i="3"/>
  <c r="G15" i="3"/>
  <c r="F15" i="3"/>
  <c r="G17" i="3"/>
  <c r="F17" i="3"/>
  <c r="G19" i="3"/>
  <c r="F19" i="3"/>
  <c r="G20" i="3"/>
  <c r="F20" i="3"/>
  <c r="G21" i="3"/>
  <c r="F21" i="3"/>
  <c r="G22" i="3"/>
  <c r="F22" i="3"/>
  <c r="G23" i="3"/>
  <c r="F23" i="3"/>
  <c r="G24" i="3"/>
  <c r="F24" i="3"/>
  <c r="G27" i="3"/>
  <c r="F27" i="3"/>
  <c r="G28" i="3"/>
  <c r="F28" i="3"/>
  <c r="G29" i="3"/>
  <c r="F29" i="3"/>
  <c r="G30" i="3"/>
  <c r="F30" i="3"/>
  <c r="G31" i="3"/>
  <c r="F31" i="3"/>
  <c r="G33" i="3"/>
  <c r="F33" i="3"/>
  <c r="G34" i="3"/>
  <c r="F34" i="3"/>
  <c r="G36" i="3"/>
  <c r="F36" i="3"/>
  <c r="G37" i="3"/>
  <c r="F37" i="3"/>
  <c r="G38" i="3"/>
  <c r="F38" i="3"/>
  <c r="G40" i="3"/>
  <c r="F40" i="3"/>
  <c r="G42" i="3"/>
  <c r="F42" i="3"/>
  <c r="G44" i="3"/>
  <c r="F44" i="3"/>
  <c r="G45" i="3"/>
  <c r="F45" i="3"/>
  <c r="G46" i="3"/>
  <c r="F46" i="3"/>
  <c r="G47" i="3"/>
  <c r="F47" i="3"/>
  <c r="G48" i="3"/>
  <c r="F48" i="3"/>
  <c r="G49" i="3"/>
  <c r="F49" i="3"/>
  <c r="G50" i="3"/>
  <c r="F50" i="3"/>
  <c r="G51" i="3"/>
  <c r="F51" i="3"/>
  <c r="G52" i="3"/>
  <c r="F52" i="3"/>
  <c r="G53" i="3"/>
  <c r="F53" i="3"/>
  <c r="G54" i="3"/>
  <c r="F54" i="3"/>
  <c r="G55" i="3"/>
  <c r="F55" i="3"/>
  <c r="G56" i="3"/>
  <c r="F56" i="3"/>
  <c r="G57" i="3"/>
  <c r="F57" i="3"/>
  <c r="G58" i="3"/>
  <c r="F58" i="3"/>
  <c r="G59" i="3"/>
  <c r="F59" i="3"/>
  <c r="G60" i="3"/>
  <c r="F60" i="3"/>
  <c r="G61" i="3"/>
  <c r="F61" i="3"/>
  <c r="G62" i="3"/>
  <c r="F62" i="3"/>
  <c r="G63" i="3"/>
  <c r="F63" i="3"/>
  <c r="G64" i="3"/>
  <c r="F64" i="3"/>
  <c r="G65" i="3"/>
  <c r="F65" i="3"/>
  <c r="G66" i="3"/>
  <c r="F66" i="3"/>
  <c r="G67" i="3"/>
  <c r="F67" i="3"/>
  <c r="G68" i="3"/>
  <c r="F68" i="3"/>
  <c r="G69" i="3"/>
  <c r="F69" i="3"/>
  <c r="G70" i="3"/>
  <c r="F70" i="3"/>
  <c r="G71" i="3"/>
  <c r="F71" i="3"/>
  <c r="G72" i="3"/>
  <c r="F72" i="3"/>
  <c r="G73" i="3"/>
  <c r="F73" i="3"/>
  <c r="G74" i="3"/>
  <c r="F74" i="3"/>
  <c r="G75" i="3"/>
  <c r="F75" i="3"/>
  <c r="G76" i="3"/>
  <c r="F76" i="3"/>
  <c r="G77" i="3"/>
  <c r="F77" i="3"/>
  <c r="G78" i="3"/>
  <c r="F78" i="3"/>
  <c r="G79" i="3"/>
  <c r="F79" i="3"/>
  <c r="G80" i="3"/>
  <c r="F80" i="3"/>
  <c r="G81" i="3"/>
  <c r="F81" i="3"/>
  <c r="G82" i="3"/>
  <c r="F82" i="3"/>
  <c r="G83" i="3"/>
  <c r="F83" i="3"/>
  <c r="G84" i="3"/>
  <c r="F84" i="3"/>
  <c r="G85" i="3"/>
  <c r="F85" i="3"/>
  <c r="G86" i="3"/>
  <c r="F86" i="3"/>
  <c r="G87" i="3"/>
  <c r="F87" i="3"/>
  <c r="G88" i="3"/>
  <c r="F88" i="3"/>
  <c r="G89" i="3"/>
  <c r="F89" i="3"/>
  <c r="G90" i="3"/>
  <c r="F90" i="3"/>
  <c r="G91" i="3"/>
  <c r="F91" i="3"/>
  <c r="G92" i="3"/>
  <c r="F92" i="3"/>
  <c r="G93" i="3"/>
  <c r="F93" i="3"/>
  <c r="G94" i="3"/>
  <c r="F94" i="3"/>
  <c r="G95" i="3"/>
  <c r="F95" i="3"/>
  <c r="G96" i="3"/>
  <c r="F96" i="3"/>
  <c r="G97" i="3"/>
  <c r="F97" i="3"/>
  <c r="G98" i="3"/>
  <c r="F98" i="3"/>
  <c r="G99" i="3"/>
  <c r="F99" i="3"/>
  <c r="G100" i="3"/>
  <c r="F100" i="3"/>
  <c r="G101" i="3"/>
  <c r="F101" i="3"/>
  <c r="G102" i="3"/>
  <c r="F102" i="3"/>
  <c r="G103" i="3"/>
  <c r="F103" i="3"/>
  <c r="G104" i="3"/>
  <c r="F104" i="3"/>
  <c r="G105" i="3"/>
  <c r="F105" i="3"/>
  <c r="G106" i="3"/>
  <c r="F106" i="3"/>
  <c r="G107" i="3"/>
  <c r="F107" i="3"/>
  <c r="G108" i="3"/>
  <c r="F108" i="3"/>
  <c r="G109" i="3"/>
  <c r="F109" i="3"/>
  <c r="G110" i="3"/>
  <c r="F110" i="3"/>
  <c r="G111" i="3"/>
  <c r="F111" i="3"/>
  <c r="G112" i="3"/>
  <c r="F112" i="3"/>
  <c r="G113" i="3"/>
  <c r="F113" i="3"/>
  <c r="G114" i="3"/>
  <c r="F114" i="3"/>
  <c r="G115" i="3"/>
  <c r="F115" i="3"/>
  <c r="G116" i="3"/>
  <c r="F116" i="3"/>
  <c r="G117" i="3"/>
  <c r="F117" i="3"/>
  <c r="G118" i="3"/>
  <c r="F118" i="3"/>
  <c r="G119" i="3"/>
  <c r="F119" i="3"/>
  <c r="G120" i="3"/>
  <c r="F120" i="3"/>
  <c r="G121" i="3"/>
  <c r="F121" i="3"/>
  <c r="G122" i="3"/>
  <c r="F122" i="3"/>
  <c r="G123" i="3"/>
  <c r="F123" i="3"/>
  <c r="G124" i="3"/>
  <c r="F124" i="3"/>
  <c r="G125" i="3"/>
  <c r="F125" i="3"/>
  <c r="G126" i="3"/>
  <c r="F126" i="3"/>
  <c r="G127" i="3"/>
  <c r="F127" i="3"/>
  <c r="G128" i="3"/>
  <c r="F128" i="3"/>
  <c r="G129" i="3"/>
  <c r="F129" i="3"/>
  <c r="G130" i="3"/>
  <c r="F130" i="3"/>
  <c r="G131" i="3"/>
  <c r="F131" i="3"/>
  <c r="G132" i="3"/>
  <c r="F132" i="3"/>
  <c r="E1" i="3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F17" i="2"/>
  <c r="F18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4" i="2"/>
  <c r="D4" i="2"/>
  <c r="J6" i="1"/>
  <c r="J7" i="1"/>
  <c r="J8" i="1"/>
  <c r="J9" i="1"/>
  <c r="J10" i="1"/>
  <c r="C13" i="1"/>
  <c r="E13" i="1"/>
  <c r="J11" i="1"/>
</calcChain>
</file>

<file path=xl/sharedStrings.xml><?xml version="1.0" encoding="utf-8"?>
<sst xmlns="http://schemas.openxmlformats.org/spreadsheetml/2006/main" count="98" uniqueCount="71">
  <si>
    <t>Lunes</t>
  </si>
  <si>
    <t>Martes</t>
  </si>
  <si>
    <t>Miércoles</t>
  </si>
  <si>
    <t>Jueves</t>
  </si>
  <si>
    <t>Viernes</t>
  </si>
  <si>
    <t>Hora Inicio</t>
  </si>
  <si>
    <t>Hora Término</t>
  </si>
  <si>
    <t>TURNO 1</t>
  </si>
  <si>
    <t>TURNO 2</t>
  </si>
  <si>
    <t>TURNO 3</t>
  </si>
  <si>
    <t>TOTAL DIARIO</t>
  </si>
  <si>
    <t>TOTAL SEMANAL</t>
  </si>
  <si>
    <t xml:space="preserve">SEMANA </t>
  </si>
  <si>
    <t>a Viernes:</t>
  </si>
  <si>
    <t>Lunes:</t>
  </si>
  <si>
    <t>TAREAS</t>
  </si>
  <si>
    <t>Turno 1:</t>
  </si>
  <si>
    <t>Turno 2:</t>
  </si>
  <si>
    <t>Turno 3:</t>
  </si>
  <si>
    <t>TURNO 4</t>
  </si>
  <si>
    <t>Turno 4:</t>
  </si>
  <si>
    <t>Notas</t>
  </si>
  <si>
    <t>*</t>
  </si>
  <si>
    <t>Turno</t>
  </si>
  <si>
    <t>#Turno</t>
  </si>
  <si>
    <t>Hora Inicio Turno</t>
  </si>
  <si>
    <t>Hora Término Turno</t>
  </si>
  <si>
    <t>Duración Turno</t>
  </si>
  <si>
    <t>Horas Trabajadas:</t>
  </si>
  <si>
    <t># Turnos:</t>
  </si>
  <si>
    <t>Fecha</t>
  </si>
  <si>
    <t>Horas Diarias</t>
  </si>
  <si>
    <t>Horas Semana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</si>
  <si>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</si>
  <si>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</si>
  <si>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</si>
  <si>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</si>
  <si>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</si>
  <si>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</si>
  <si>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</si>
  <si>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</si>
  <si>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</si>
  <si>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</si>
  <si>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</si>
  <si>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</si>
  <si>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# Semana</t>
  </si>
  <si>
    <t>Día</t>
  </si>
  <si>
    <t>Mes</t>
  </si>
  <si>
    <t>Lista Mes</t>
  </si>
  <si>
    <t>Nombre Mes</t>
  </si>
  <si>
    <t>Indicador Último Día de la Semana</t>
  </si>
  <si>
    <t>Resumen Horas por semana</t>
  </si>
  <si>
    <t># Semana del año y # Semana del mes</t>
  </si>
  <si>
    <t>Horas Totales Semana</t>
  </si>
  <si>
    <t>Resumen Horas por mes</t>
  </si>
  <si>
    <t>Mes del año</t>
  </si>
  <si>
    <t>Horas Totales Mes</t>
  </si>
  <si>
    <t>Indicador Cambio Mes</t>
  </si>
  <si>
    <t>Año</t>
  </si>
  <si>
    <t>1. Ingresar a hoja "Calculo turnos"</t>
  </si>
  <si>
    <t>Comentario</t>
  </si>
  <si>
    <t>Sólo es necesario editar esta hoja con los botones.</t>
  </si>
  <si>
    <t>- Boton "Inicio Turno": Sirve para registrar la hora de inicio del turno</t>
  </si>
  <si>
    <t>- Boton "Termino Turno": Sirve para registrar la hora de término del turno</t>
  </si>
  <si>
    <t>- Boton "Exportar Día a Resumen": Sirve para exportar el registro de horas de los turnos a la hoja de "Resumen"</t>
  </si>
  <si>
    <t>- Boton "Limpiar turnos día": Sirve para limpiar la planilla y comenzar una nueva jornada con turnos</t>
  </si>
  <si>
    <t>2. Ingresar a hoja "Resumen"</t>
  </si>
  <si>
    <t xml:space="preserve">En esta hoja se registran las horas trabajadas por día / semana / mes </t>
  </si>
  <si>
    <t>- Esta planilla debe ser reciclada cada 12 meses (de octubre a septiembre) para evitar problemas de referencia (doble suma de meses)</t>
  </si>
  <si>
    <t>Pasos para explorar Libro de Excel</t>
  </si>
  <si>
    <t>- Sólo se debe manipular celdas cuyo fondo es blanco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</si>
</sst>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h]:mm"/>
    <numFmt numFmtId="165" formatCode="[$-340A]d&quot; de &quot;mmmm&quot; de &quot;yyyy;@"/>
    <numFmt numFmtId="166" formatCode="[$-F400]h:mm:ss\ AM/PM"/>
  </numFmts>
  <fonts count="13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Lucida Grande"/>
    </font>
    <font>
      <sz val="10"/>
      <color rgb="FF000000"/>
      <name val="Geneva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3">
    <xf numFmtId="0" fontId="0" fillId="0" borderId="0" xfId="0"/>
    <xf numFmtId="0" fontId="3" fillId="2" borderId="0" xfId="0" applyFont="1" applyFill="1"/>
    <xf numFmtId="165" fontId="0" fillId="2" borderId="0" xfId="0" applyNumberFormat="1" applyFont="1" applyFill="1"/>
    <xf numFmtId="0" fontId="0" fillId="2" borderId="0" xfId="0" applyFill="1"/>
    <xf numFmtId="165" fontId="0" fillId="2" borderId="0" xfId="0" applyNumberFormat="1" applyFill="1"/>
    <xf numFmtId="14" fontId="3" fillId="2" borderId="0" xfId="0" applyNumberFormat="1" applyFont="1" applyFill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165" fontId="5" fillId="2" borderId="0" xfId="0" applyNumberFormat="1" applyFont="1" applyFill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20" fontId="4" fillId="2" borderId="3" xfId="0" applyNumberFormat="1" applyFont="1" applyFill="1" applyBorder="1"/>
    <xf numFmtId="20" fontId="4" fillId="2" borderId="4" xfId="0" applyNumberFormat="1" applyFont="1" applyFill="1" applyBorder="1"/>
    <xf numFmtId="20" fontId="0" fillId="2" borderId="0" xfId="0" applyNumberFormat="1" applyFill="1"/>
    <xf numFmtId="20" fontId="0" fillId="2" borderId="5" xfId="0" applyNumberFormat="1" applyFill="1" applyBorder="1"/>
    <xf numFmtId="20" fontId="0" fillId="2" borderId="6" xfId="0" applyNumberFormat="1" applyFill="1" applyBorder="1"/>
    <xf numFmtId="0" fontId="0" fillId="2" borderId="7" xfId="0" applyFill="1" applyBorder="1"/>
    <xf numFmtId="0" fontId="0" fillId="2" borderId="8" xfId="0" applyFill="1" applyBorder="1"/>
    <xf numFmtId="164" fontId="0" fillId="2" borderId="9" xfId="0" applyNumberFormat="1" applyFill="1" applyBorder="1"/>
    <xf numFmtId="165" fontId="0" fillId="2" borderId="10" xfId="0" applyNumberFormat="1" applyFont="1" applyFill="1" applyBorder="1"/>
    <xf numFmtId="165" fontId="0" fillId="2" borderId="11" xfId="0" applyNumberFormat="1" applyFont="1" applyFill="1" applyBorder="1"/>
    <xf numFmtId="0" fontId="0" fillId="2" borderId="11" xfId="0" applyFill="1" applyBorder="1"/>
    <xf numFmtId="165" fontId="0" fillId="2" borderId="12" xfId="0" applyNumberFormat="1" applyFill="1" applyBorder="1"/>
    <xf numFmtId="165" fontId="0" fillId="2" borderId="0" xfId="0" applyNumberFormat="1" applyFill="1" applyBorder="1"/>
    <xf numFmtId="0" fontId="0" fillId="2" borderId="13" xfId="0" applyFill="1" applyBorder="1"/>
    <xf numFmtId="22" fontId="0" fillId="2" borderId="0" xfId="0" applyNumberFormat="1" applyFill="1"/>
    <xf numFmtId="21" fontId="0" fillId="2" borderId="0" xfId="0" applyNumberFormat="1" applyFill="1"/>
    <xf numFmtId="166" fontId="0" fillId="2" borderId="0" xfId="0" applyNumberFormat="1" applyFill="1"/>
    <xf numFmtId="21" fontId="7" fillId="2" borderId="0" xfId="0" applyNumberFormat="1" applyFont="1" applyFill="1"/>
    <xf numFmtId="0" fontId="0" fillId="2" borderId="0" xfId="0" applyFill="1" applyAlignment="1">
      <alignment horizontal="right"/>
    </xf>
    <xf numFmtId="21" fontId="0" fillId="2" borderId="0" xfId="0" applyNumberFormat="1" applyFill="1" applyAlignment="1">
      <alignment horizontal="right"/>
    </xf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right"/>
    </xf>
    <xf numFmtId="0" fontId="0" fillId="2" borderId="0" xfId="0" applyFont="1" applyFill="1" applyAlignment="1"/>
    <xf numFmtId="0" fontId="10" fillId="2" borderId="0" xfId="0" applyFont="1" applyFill="1" applyAlignment="1"/>
    <xf numFmtId="1" fontId="0" fillId="2" borderId="0" xfId="0" applyNumberFormat="1" applyFill="1" applyAlignment="1">
      <alignment horizontal="right"/>
    </xf>
    <xf numFmtId="1" fontId="0" fillId="2" borderId="0" xfId="0" applyNumberFormat="1" applyFill="1"/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2" fontId="0" fillId="2" borderId="18" xfId="0" applyNumberForma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21" fontId="0" fillId="3" borderId="4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0" xfId="0" applyFill="1"/>
    <xf numFmtId="0" fontId="3" fillId="4" borderId="0" xfId="0" applyFont="1" applyFill="1"/>
    <xf numFmtId="21" fontId="0" fillId="4" borderId="0" xfId="0" applyNumberFormat="1" applyFill="1" applyAlignment="1">
      <alignment horizontal="center"/>
    </xf>
    <xf numFmtId="21" fontId="3" fillId="4" borderId="0" xfId="0" applyNumberFormat="1" applyFont="1" applyFill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4" xfId="0" applyFill="1" applyBorder="1"/>
    <xf numFmtId="0" fontId="3" fillId="5" borderId="14" xfId="0" applyFont="1" applyFill="1" applyBorder="1"/>
    <xf numFmtId="21" fontId="0" fillId="5" borderId="2" xfId="0" applyNumberForma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0" fillId="5" borderId="0" xfId="0" applyFill="1" applyBorder="1"/>
    <xf numFmtId="21" fontId="0" fillId="5" borderId="0" xfId="0" applyNumberFormat="1" applyFill="1" applyBorder="1"/>
    <xf numFmtId="0" fontId="3" fillId="5" borderId="0" xfId="0" applyFont="1" applyFill="1" applyBorder="1"/>
    <xf numFmtId="21" fontId="3" fillId="5" borderId="4" xfId="0" applyNumberFormat="1" applyFont="1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21" fontId="0" fillId="5" borderId="4" xfId="0" applyNumberForma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21" fontId="0" fillId="6" borderId="18" xfId="0" applyNumberFormat="1" applyFill="1" applyBorder="1" applyAlignment="1">
      <alignment horizontal="center"/>
    </xf>
    <xf numFmtId="166" fontId="0" fillId="6" borderId="23" xfId="0" applyNumberFormat="1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6" borderId="27" xfId="0" applyFill="1" applyBorder="1"/>
    <xf numFmtId="21" fontId="0" fillId="6" borderId="28" xfId="0" applyNumberFormat="1" applyFill="1" applyBorder="1" applyAlignment="1">
      <alignment horizontal="right"/>
    </xf>
    <xf numFmtId="0" fontId="0" fillId="6" borderId="29" xfId="0" applyFill="1" applyBorder="1"/>
    <xf numFmtId="0" fontId="0" fillId="6" borderId="30" xfId="0" applyFill="1" applyBorder="1"/>
    <xf numFmtId="0" fontId="0" fillId="6" borderId="13" xfId="0" applyFill="1" applyBorder="1" applyAlignment="1">
      <alignment horizontal="right"/>
    </xf>
    <xf numFmtId="0" fontId="0" fillId="6" borderId="31" xfId="0" applyFill="1" applyBorder="1"/>
    <xf numFmtId="14" fontId="0" fillId="2" borderId="17" xfId="0" applyNumberFormat="1" applyFill="1" applyBorder="1" applyAlignment="1">
      <alignment horizontal="center"/>
    </xf>
    <xf numFmtId="21" fontId="0" fillId="2" borderId="18" xfId="0" applyNumberForma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21" fontId="0" fillId="2" borderId="0" xfId="0" applyNumberFormat="1" applyFill="1" applyBorder="1"/>
    <xf numFmtId="0" fontId="0" fillId="2" borderId="14" xfId="0" applyFill="1" applyBorder="1"/>
    <xf numFmtId="0" fontId="3" fillId="2" borderId="0" xfId="0" applyFont="1" applyFill="1" applyBorder="1"/>
    <xf numFmtId="0" fontId="0" fillId="2" borderId="0" xfId="0" quotePrefix="1" applyFill="1" applyBorder="1"/>
    <xf numFmtId="0" fontId="0" fillId="2" borderId="5" xfId="0" applyFill="1" applyBorder="1"/>
    <xf numFmtId="0" fontId="0" fillId="2" borderId="32" xfId="0" applyFill="1" applyBorder="1"/>
    <xf numFmtId="0" fontId="0" fillId="2" borderId="6" xfId="0" applyFill="1" applyBorder="1"/>
  </cellXfs>
  <cellStyles count="10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4</xdr:row>
          <xdr:rowOff>15240</xdr:rowOff>
        </xdr:from>
        <xdr:to>
          <xdr:col>6</xdr:col>
          <xdr:colOff>99060</xdr:colOff>
          <xdr:row>6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Lucida Grande"/>
                </a:rPr>
                <a:t>Iniciar Turno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7</xdr:row>
          <xdr:rowOff>91440</xdr:rowOff>
        </xdr:from>
        <xdr:to>
          <xdr:col>6</xdr:col>
          <xdr:colOff>99060</xdr:colOff>
          <xdr:row>9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Lucida Grande"/>
                </a:rPr>
                <a:t>Terminar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137160</xdr:rowOff>
        </xdr:from>
        <xdr:to>
          <xdr:col>7</xdr:col>
          <xdr:colOff>0</xdr:colOff>
          <xdr:row>11</xdr:row>
          <xdr:rowOff>45720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Geneva"/>
                </a:rPr>
                <a:t>Iniciar o Terminar Turno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7</xdr:col>
          <xdr:colOff>15240</xdr:colOff>
          <xdr:row>27</xdr:row>
          <xdr:rowOff>160020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Día a Resumen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525780</xdr:colOff>
          <xdr:row>20</xdr:row>
          <xdr:rowOff>160020</xdr:rowOff>
        </xdr:from>
        <xdr:to>
          <xdr:col>6</xdr:col>
          <xdr:colOff>83820</xdr:colOff>
          <xdr:row>23</xdr:row>
          <xdr:rowOff>99060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Día a Resumen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518160</xdr:colOff>
          <xdr:row>24</xdr:row>
          <xdr:rowOff>45720</xdr:rowOff>
        </xdr:from>
        <xdr:to>
          <xdr:col>6</xdr:col>
          <xdr:colOff>76200</xdr:colOff>
          <xdr:row>26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Turnos Día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2:M25"/>
  <sheetViews>
    <sheetView workbookViewId="0">
      <selection activeCell="B1" sqref="B1"/>
    </sheetView>
  </sheetViews>
  <sheetFormatPr defaultColWidth="10.796875" defaultRowHeight="15.6"/>
  <cols>
    <col min="1" max="1" width="22" style="3" bestFit="1" customWidth="1"/>
    <col min="2" max="2" width="10" style="3" bestFit="1" customWidth="1"/>
    <col min="3" max="3" width="22" style="3" bestFit="1" customWidth="1"/>
    <col min="4" max="4" width="10" style="3" bestFit="1" customWidth="1"/>
    <col min="5" max="5" width="20.296875" style="3" bestFit="1" customWidth="1"/>
    <col min="6" max="6" width="10" style="3" bestFit="1" customWidth="1"/>
    <col min="7" max="7" width="12.5" style="3" bestFit="1" customWidth="1"/>
    <col min="8" max="8" width="10.796875" style="3"/>
    <col min="9" max="9" width="12.5" style="3" bestFit="1" customWidth="1"/>
    <col min="10" max="10" width="12.796875" style="3" bestFit="1" customWidth="1"/>
    <col min="11" max="16384" width="10.796875" style="3"/>
  </cols>
  <sheetData>
    <row r="2" spans="1:13">
      <c r="A2" s="1" t="s">
        <v>12</v>
      </c>
      <c r="B2" s="2"/>
      <c r="C2" s="2"/>
      <c r="E2" s="4"/>
      <c r="F2" s="4"/>
      <c r="G2" s="4"/>
    </row>
    <row r="3" spans="1:13" ht="16.2" thickBot="1">
      <c r="A3" s="5">
        <v>42422</v>
      </c>
      <c r="B3" s="2"/>
      <c r="C3" s="2"/>
      <c r="E3" s="4"/>
      <c r="F3" s="4"/>
      <c r="G3" s="4"/>
    </row>
    <row r="4" spans="1:13">
      <c r="A4" s="1"/>
      <c r="B4" s="6" t="s">
        <v>7</v>
      </c>
      <c r="C4" s="7"/>
      <c r="D4" s="6" t="s">
        <v>8</v>
      </c>
      <c r="E4" s="7"/>
      <c r="F4" s="6" t="s">
        <v>9</v>
      </c>
      <c r="G4" s="7"/>
      <c r="H4" s="6" t="s">
        <v>19</v>
      </c>
      <c r="I4" s="7"/>
    </row>
    <row r="5" spans="1:13">
      <c r="A5" s="8"/>
      <c r="B5" s="9" t="s">
        <v>5</v>
      </c>
      <c r="C5" s="10" t="s">
        <v>6</v>
      </c>
      <c r="D5" s="9" t="s">
        <v>5</v>
      </c>
      <c r="E5" s="10" t="s">
        <v>6</v>
      </c>
      <c r="F5" s="9" t="s">
        <v>5</v>
      </c>
      <c r="G5" s="10" t="s">
        <v>6</v>
      </c>
      <c r="H5" s="9" t="s">
        <v>5</v>
      </c>
      <c r="I5" s="10" t="s">
        <v>6</v>
      </c>
      <c r="J5" s="11" t="s">
        <v>10</v>
      </c>
      <c r="K5" s="11"/>
      <c r="L5" s="11"/>
      <c r="M5" s="11"/>
    </row>
    <row r="6" spans="1:13">
      <c r="A6" s="3" t="s">
        <v>0</v>
      </c>
      <c r="B6" s="12"/>
      <c r="C6" s="13"/>
      <c r="D6" s="12"/>
      <c r="E6" s="13"/>
      <c r="F6" s="12"/>
      <c r="G6" s="13"/>
      <c r="H6" s="12"/>
      <c r="I6" s="13"/>
      <c r="J6" s="14">
        <f>(C6-B6)+(E6-D6)+(I6-H6)+(G6-F6)</f>
        <v>0</v>
      </c>
      <c r="K6" s="14"/>
    </row>
    <row r="7" spans="1:13">
      <c r="A7" s="3" t="s">
        <v>1</v>
      </c>
      <c r="B7" s="12"/>
      <c r="C7" s="13"/>
      <c r="D7" s="12"/>
      <c r="E7" s="13"/>
      <c r="F7" s="12"/>
      <c r="G7" s="13"/>
      <c r="H7" s="12"/>
      <c r="I7" s="13"/>
      <c r="J7" s="14">
        <f t="shared" ref="J7:J10" si="0">(C7-B7)+(E7-D7)+(I7-H7)+(G7-F7)</f>
        <v>0</v>
      </c>
    </row>
    <row r="8" spans="1:13">
      <c r="A8" s="3" t="s">
        <v>2</v>
      </c>
      <c r="B8" s="12"/>
      <c r="C8" s="13"/>
      <c r="D8" s="12"/>
      <c r="E8" s="13"/>
      <c r="F8" s="12"/>
      <c r="G8" s="13"/>
      <c r="H8" s="12"/>
      <c r="I8" s="13"/>
      <c r="J8" s="14">
        <f t="shared" si="0"/>
        <v>0</v>
      </c>
    </row>
    <row r="9" spans="1:13">
      <c r="A9" s="3" t="s">
        <v>3</v>
      </c>
      <c r="B9" s="12"/>
      <c r="C9" s="13"/>
      <c r="D9" s="12"/>
      <c r="E9" s="13"/>
      <c r="F9" s="12"/>
      <c r="G9" s="13"/>
      <c r="H9" s="12"/>
      <c r="I9" s="13"/>
      <c r="J9" s="14">
        <f t="shared" si="0"/>
        <v>0</v>
      </c>
    </row>
    <row r="10" spans="1:13" ht="16.2" thickBot="1">
      <c r="A10" s="3" t="s">
        <v>4</v>
      </c>
      <c r="B10" s="15"/>
      <c r="C10" s="16"/>
      <c r="D10" s="15"/>
      <c r="E10" s="16"/>
      <c r="F10" s="15"/>
      <c r="G10" s="16"/>
      <c r="H10" s="15"/>
      <c r="I10" s="16"/>
      <c r="J10" s="14">
        <f t="shared" si="0"/>
        <v>0</v>
      </c>
    </row>
    <row r="11" spans="1:13" ht="16.2" thickBot="1">
      <c r="H11" s="17" t="s">
        <v>11</v>
      </c>
      <c r="I11" s="18"/>
      <c r="J11" s="19">
        <f>SUM(J6:J10)</f>
        <v>0</v>
      </c>
    </row>
    <row r="13" spans="1:13">
      <c r="A13" s="2"/>
      <c r="B13" s="20" t="s">
        <v>14</v>
      </c>
      <c r="C13" s="21">
        <f>A3</f>
        <v>42422</v>
      </c>
      <c r="D13" s="22" t="s">
        <v>13</v>
      </c>
      <c r="E13" s="23">
        <f>C13+4</f>
        <v>42426</v>
      </c>
      <c r="F13" s="24"/>
      <c r="G13" s="24"/>
    </row>
    <row r="15" spans="1:13">
      <c r="A15" s="3" t="s">
        <v>15</v>
      </c>
    </row>
    <row r="16" spans="1:13">
      <c r="B16" s="3" t="s">
        <v>0</v>
      </c>
    </row>
    <row r="17" spans="2:10">
      <c r="B17" s="3" t="s">
        <v>16</v>
      </c>
    </row>
    <row r="18" spans="2:10">
      <c r="B18" s="3" t="s">
        <v>17</v>
      </c>
    </row>
    <row r="19" spans="2:10">
      <c r="B19" s="3" t="s">
        <v>18</v>
      </c>
    </row>
    <row r="21" spans="2:10">
      <c r="B21" s="3" t="s">
        <v>2</v>
      </c>
      <c r="H21" s="3" t="s">
        <v>21</v>
      </c>
    </row>
    <row r="22" spans="2:10">
      <c r="B22" s="3" t="s">
        <v>16</v>
      </c>
      <c r="H22" s="25" t="s">
        <v>22</v>
      </c>
      <c r="I22" s="25"/>
      <c r="J22" s="25"/>
    </row>
    <row r="23" spans="2:10">
      <c r="B23" s="3" t="s">
        <v>17</v>
      </c>
      <c r="H23" s="22" t="s">
        <v>22</v>
      </c>
      <c r="I23" s="22"/>
      <c r="J23" s="22"/>
    </row>
    <row r="24" spans="2:10">
      <c r="B24" s="3" t="s">
        <v>18</v>
      </c>
      <c r="H24" s="22" t="s">
        <v>22</v>
      </c>
      <c r="I24" s="22"/>
      <c r="J24" s="22"/>
    </row>
    <row r="25" spans="2:10">
      <c r="B25" s="3" t="s">
        <v>20</v>
      </c>
      <c r="H25" s="22" t="s">
        <v>22</v>
      </c>
      <c r="I25" s="22"/>
      <c r="J25" s="22"/>
    </row>
  </sheetData>
  <phoneticPr fontId="6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3"/>
  <sheetViews>
    <sheetView tabSelected="1" workbookViewId="0">
      <selection activeCell="I16" sqref="I16"/>
    </sheetView>
  </sheetViews>
  <sheetFormatPr defaultRowHeight="15.6"/>
  <cols>
    <col min="1" max="1" width="8.796875" style="3"/>
    <col min="2" max="2" width="4.19921875" style="3" customWidth="1"/>
    <col min="3" max="3" width="30" style="3" bestFit="1" customWidth="1"/>
    <col min="4" max="4" width="115.59765625" style="3" bestFit="1" customWidth="1"/>
    <col min="5" max="5" width="4.19921875" style="3" customWidth="1"/>
    <col min="6" max="16384" width="8.796875" style="3"/>
  </cols>
  <sheetData>
    <row r="1" spans="2:5" ht="16.2" thickBot="1"/>
    <row r="2" spans="2:5" ht="11.4" customHeight="1">
      <c r="B2" s="6"/>
      <c r="C2" s="87"/>
      <c r="D2" s="87"/>
      <c r="E2" s="7"/>
    </row>
    <row r="3" spans="2:5">
      <c r="B3" s="9"/>
      <c r="C3" s="88" t="s">
        <v>69</v>
      </c>
      <c r="D3" s="88" t="s">
        <v>60</v>
      </c>
      <c r="E3" s="10"/>
    </row>
    <row r="4" spans="2:5">
      <c r="B4" s="9"/>
      <c r="C4" s="11" t="s">
        <v>59</v>
      </c>
      <c r="D4" s="11" t="s">
        <v>61</v>
      </c>
      <c r="E4" s="10"/>
    </row>
    <row r="5" spans="2:5">
      <c r="B5" s="9"/>
      <c r="C5" s="11"/>
      <c r="D5" s="89" t="s">
        <v>62</v>
      </c>
      <c r="E5" s="10"/>
    </row>
    <row r="6" spans="2:5">
      <c r="B6" s="9"/>
      <c r="C6" s="11"/>
      <c r="D6" s="89" t="s">
        <v>63</v>
      </c>
      <c r="E6" s="10"/>
    </row>
    <row r="7" spans="2:5">
      <c r="B7" s="9"/>
      <c r="C7" s="11"/>
      <c r="D7" s="89" t="s">
        <v>64</v>
      </c>
      <c r="E7" s="10"/>
    </row>
    <row r="8" spans="2:5">
      <c r="B8" s="9"/>
      <c r="C8" s="11"/>
      <c r="D8" s="89" t="s">
        <v>65</v>
      </c>
      <c r="E8" s="10"/>
    </row>
    <row r="9" spans="2:5">
      <c r="B9" s="9"/>
      <c r="C9" s="11"/>
      <c r="D9" s="11"/>
      <c r="E9" s="10"/>
    </row>
    <row r="10" spans="2:5">
      <c r="B10" s="9"/>
      <c r="C10" s="11" t="s">
        <v>66</v>
      </c>
      <c r="D10" s="11" t="s">
        <v>67</v>
      </c>
      <c r="E10" s="10"/>
    </row>
    <row r="11" spans="2:5">
      <c r="B11" s="9"/>
      <c r="C11" s="11"/>
      <c r="D11" s="89" t="s">
        <v>68</v>
      </c>
      <c r="E11" s="10"/>
    </row>
    <row r="12" spans="2:5">
      <c r="B12" s="9"/>
      <c r="C12" s="11"/>
      <c r="D12" s="89" t="s">
        <v>70</v>
      </c>
      <c r="E12" s="10"/>
    </row>
    <row r="13" spans="2:5" ht="12.6" customHeight="1" thickBot="1">
      <c r="B13" s="90"/>
      <c r="C13" s="91"/>
      <c r="D13" s="91"/>
      <c r="E13" s="9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B1:S103"/>
  <sheetViews>
    <sheetView zoomScaleNormal="100" workbookViewId="0">
      <selection activeCell="W2" sqref="W2"/>
    </sheetView>
  </sheetViews>
  <sheetFormatPr defaultColWidth="10.796875" defaultRowHeight="15.6"/>
  <cols>
    <col min="1" max="1" width="10.796875" style="3"/>
    <col min="2" max="2" width="2.3984375" style="3" hidden="1" customWidth="1"/>
    <col min="3" max="3" width="33.5" style="3" hidden="1" customWidth="1"/>
    <col min="4" max="4" width="13.5" style="3" hidden="1" customWidth="1"/>
    <col min="5" max="5" width="22.796875" style="3" customWidth="1"/>
    <col min="6" max="6" width="8.59765625" style="3" customWidth="1"/>
    <col min="7" max="7" width="8.69921875" style="3" customWidth="1"/>
    <col min="8" max="9" width="10.796875" style="3"/>
    <col min="10" max="10" width="10.796875" style="32"/>
    <col min="11" max="11" width="15.296875" style="32" bestFit="1" customWidth="1"/>
    <col min="12" max="12" width="17.796875" style="32" bestFit="1" customWidth="1"/>
    <col min="13" max="13" width="16.296875" style="32" customWidth="1"/>
    <col min="14" max="14" width="0" style="3" hidden="1" customWidth="1"/>
    <col min="15" max="15" width="10.796875" style="3"/>
    <col min="16" max="16" width="15.19921875" style="3" hidden="1" customWidth="1"/>
    <col min="17" max="18" width="10.796875" style="3"/>
    <col min="19" max="19" width="0" style="3" hidden="1" customWidth="1"/>
    <col min="20" max="16384" width="10.796875" style="3"/>
  </cols>
  <sheetData>
    <row r="1" spans="2:19">
      <c r="P1" s="40">
        <v>43397.958333333336</v>
      </c>
    </row>
    <row r="2" spans="2:19" ht="16.2" thickBot="1">
      <c r="P2" s="40">
        <v>43397.041666666664</v>
      </c>
    </row>
    <row r="3" spans="2:19" ht="16.2" thickBot="1">
      <c r="C3" s="3" t="s">
        <v>23</v>
      </c>
      <c r="J3" s="64" t="s">
        <v>24</v>
      </c>
      <c r="K3" s="65" t="s">
        <v>25</v>
      </c>
      <c r="L3" s="65" t="s">
        <v>26</v>
      </c>
      <c r="M3" s="66" t="s">
        <v>27</v>
      </c>
    </row>
    <row r="4" spans="2:19">
      <c r="B4" s="26">
        <f ca="1">NOW()</f>
        <v>43398.090739004627</v>
      </c>
      <c r="C4" s="26">
        <f ca="1">NOW()</f>
        <v>43398.090739004627</v>
      </c>
      <c r="D4" s="27">
        <f ca="1">C4</f>
        <v>43398.090739004627</v>
      </c>
      <c r="J4" s="67" t="str">
        <f>IF(ISNUMBER(K4),"Turno "&amp;S4,"")</f>
        <v/>
      </c>
      <c r="K4" s="68"/>
      <c r="L4" s="68"/>
      <c r="M4" s="69" t="str">
        <f>IF(ISNUMBER(L4),IF(L4&gt;K4,TEXT(L4-K4,"hh:mm:ss"),TEXT($P$1+$P$2-K4+L4,"hh:mm:ss")),"")</f>
        <v/>
      </c>
      <c r="N4" s="3">
        <f>IF(M4&lt;&gt;"",M4,0)</f>
        <v>0</v>
      </c>
      <c r="S4" s="3">
        <v>1</v>
      </c>
    </row>
    <row r="5" spans="2:19">
      <c r="J5" s="67" t="str">
        <f t="shared" ref="J5:J68" si="0">IF(ISNUMBER(K5),"Turno "&amp;S5,"")</f>
        <v/>
      </c>
      <c r="K5" s="68"/>
      <c r="L5" s="68"/>
      <c r="M5" s="69" t="str">
        <f t="shared" ref="M5:M39" si="1">IF(ISNUMBER(L5),IF(L5&gt;K5,TEXT(L5-K5,"hh:mm:ss"),TEXT($P$1+$P$2-K5+L5,"hh:mm:ss")),"")</f>
        <v/>
      </c>
      <c r="N5" s="3">
        <f t="shared" ref="N5:N39" si="2">IF(M5&lt;&gt;"",M5,0)</f>
        <v>0</v>
      </c>
      <c r="S5" s="3">
        <v>2</v>
      </c>
    </row>
    <row r="6" spans="2:19">
      <c r="J6" s="67" t="str">
        <f t="shared" si="0"/>
        <v/>
      </c>
      <c r="K6" s="68"/>
      <c r="L6" s="68"/>
      <c r="M6" s="69" t="str">
        <f t="shared" si="1"/>
        <v/>
      </c>
      <c r="N6" s="3">
        <f t="shared" si="2"/>
        <v>0</v>
      </c>
      <c r="S6" s="3">
        <v>3</v>
      </c>
    </row>
    <row r="7" spans="2:19">
      <c r="J7" s="67" t="str">
        <f t="shared" si="0"/>
        <v/>
      </c>
      <c r="K7" s="68"/>
      <c r="L7" s="68"/>
      <c r="M7" s="69" t="str">
        <f t="shared" si="1"/>
        <v/>
      </c>
      <c r="N7" s="3">
        <f t="shared" si="2"/>
        <v>0</v>
      </c>
      <c r="S7" s="3">
        <v>4</v>
      </c>
    </row>
    <row r="8" spans="2:19">
      <c r="J8" s="67" t="str">
        <f t="shared" si="0"/>
        <v/>
      </c>
      <c r="K8" s="68"/>
      <c r="L8" s="68"/>
      <c r="M8" s="69" t="str">
        <f t="shared" si="1"/>
        <v/>
      </c>
      <c r="N8" s="3">
        <f t="shared" si="2"/>
        <v>0</v>
      </c>
      <c r="O8" s="27"/>
      <c r="S8" s="3">
        <v>5</v>
      </c>
    </row>
    <row r="9" spans="2:19">
      <c r="J9" s="67" t="str">
        <f t="shared" si="0"/>
        <v/>
      </c>
      <c r="K9" s="68"/>
      <c r="L9" s="68"/>
      <c r="M9" s="69" t="str">
        <f t="shared" si="1"/>
        <v/>
      </c>
      <c r="N9" s="3">
        <f t="shared" si="2"/>
        <v>0</v>
      </c>
      <c r="S9" s="3">
        <v>6</v>
      </c>
    </row>
    <row r="10" spans="2:19">
      <c r="C10" s="26"/>
      <c r="J10" s="67" t="str">
        <f t="shared" si="0"/>
        <v/>
      </c>
      <c r="K10" s="70"/>
      <c r="L10" s="70"/>
      <c r="M10" s="69" t="str">
        <f t="shared" si="1"/>
        <v/>
      </c>
      <c r="N10" s="3">
        <f t="shared" si="2"/>
        <v>0</v>
      </c>
      <c r="S10" s="3">
        <v>7</v>
      </c>
    </row>
    <row r="11" spans="2:19">
      <c r="C11" s="29"/>
      <c r="J11" s="67" t="str">
        <f t="shared" si="0"/>
        <v/>
      </c>
      <c r="K11" s="70"/>
      <c r="L11" s="70"/>
      <c r="M11" s="69" t="str">
        <f t="shared" si="1"/>
        <v/>
      </c>
      <c r="N11" s="3">
        <f t="shared" si="2"/>
        <v>0</v>
      </c>
      <c r="O11" s="27"/>
      <c r="S11" s="3">
        <v>8</v>
      </c>
    </row>
    <row r="12" spans="2:19">
      <c r="C12" s="26"/>
      <c r="J12" s="67" t="str">
        <f t="shared" si="0"/>
        <v/>
      </c>
      <c r="K12" s="70"/>
      <c r="L12" s="70"/>
      <c r="M12" s="69" t="str">
        <f t="shared" si="1"/>
        <v/>
      </c>
      <c r="N12" s="3">
        <f t="shared" si="2"/>
        <v>0</v>
      </c>
      <c r="S12" s="3">
        <v>9</v>
      </c>
    </row>
    <row r="13" spans="2:19">
      <c r="C13" s="28"/>
      <c r="D13" s="28"/>
      <c r="J13" s="67" t="str">
        <f t="shared" si="0"/>
        <v/>
      </c>
      <c r="K13" s="70"/>
      <c r="L13" s="70"/>
      <c r="M13" s="69" t="str">
        <f t="shared" si="1"/>
        <v/>
      </c>
      <c r="N13" s="3">
        <f t="shared" si="2"/>
        <v>0</v>
      </c>
      <c r="S13" s="3">
        <v>10</v>
      </c>
    </row>
    <row r="14" spans="2:19">
      <c r="J14" s="67" t="str">
        <f t="shared" si="0"/>
        <v/>
      </c>
      <c r="K14" s="70"/>
      <c r="L14" s="70"/>
      <c r="M14" s="69" t="str">
        <f t="shared" si="1"/>
        <v/>
      </c>
      <c r="N14" s="3">
        <f t="shared" si="2"/>
        <v>0</v>
      </c>
      <c r="S14" s="3">
        <v>11</v>
      </c>
    </row>
    <row r="15" spans="2:19">
      <c r="J15" s="67" t="str">
        <f t="shared" si="0"/>
        <v/>
      </c>
      <c r="K15" s="70"/>
      <c r="L15" s="70"/>
      <c r="M15" s="69" t="str">
        <f t="shared" si="1"/>
        <v/>
      </c>
      <c r="N15" s="3">
        <f t="shared" si="2"/>
        <v>0</v>
      </c>
      <c r="S15" s="3">
        <v>12</v>
      </c>
    </row>
    <row r="16" spans="2:19">
      <c r="F16" s="30"/>
      <c r="J16" s="67" t="str">
        <f t="shared" si="0"/>
        <v/>
      </c>
      <c r="K16" s="70"/>
      <c r="L16" s="70"/>
      <c r="M16" s="69" t="str">
        <f t="shared" si="1"/>
        <v/>
      </c>
      <c r="N16" s="3">
        <f t="shared" si="2"/>
        <v>0</v>
      </c>
      <c r="S16" s="3">
        <v>13</v>
      </c>
    </row>
    <row r="17" spans="5:19">
      <c r="E17" s="75" t="s">
        <v>28</v>
      </c>
      <c r="F17" s="76">
        <f>N4+N5+N6+N7+N8+N9+N10+N11+N12+N13+N14+N15+N16+N17+N18+N19+N20+N21+N22+N23+N24+N25+N26+N27+N28+N29+N30+N31+N32+N33+N34+N35+N36+N37+N38+N39</f>
        <v>0</v>
      </c>
      <c r="G17" s="77"/>
      <c r="J17" s="67" t="str">
        <f t="shared" si="0"/>
        <v/>
      </c>
      <c r="K17" s="70"/>
      <c r="L17" s="70"/>
      <c r="M17" s="69" t="str">
        <f t="shared" si="1"/>
        <v/>
      </c>
      <c r="N17" s="3">
        <f t="shared" si="2"/>
        <v>0</v>
      </c>
      <c r="S17" s="3">
        <v>14</v>
      </c>
    </row>
    <row r="18" spans="5:19">
      <c r="E18" s="78" t="s">
        <v>29</v>
      </c>
      <c r="F18" s="79">
        <f>COUNT(M4:M162)</f>
        <v>0</v>
      </c>
      <c r="G18" s="80"/>
      <c r="J18" s="67" t="str">
        <f t="shared" si="0"/>
        <v/>
      </c>
      <c r="K18" s="70"/>
      <c r="L18" s="70"/>
      <c r="M18" s="69" t="str">
        <f t="shared" si="1"/>
        <v/>
      </c>
      <c r="N18" s="3">
        <f t="shared" si="2"/>
        <v>0</v>
      </c>
      <c r="S18" s="3">
        <v>15</v>
      </c>
    </row>
    <row r="19" spans="5:19">
      <c r="J19" s="67" t="str">
        <f t="shared" si="0"/>
        <v/>
      </c>
      <c r="K19" s="70"/>
      <c r="L19" s="70"/>
      <c r="M19" s="69" t="str">
        <f t="shared" si="1"/>
        <v/>
      </c>
      <c r="N19" s="3">
        <f t="shared" si="2"/>
        <v>0</v>
      </c>
      <c r="S19" s="3">
        <v>16</v>
      </c>
    </row>
    <row r="20" spans="5:19">
      <c r="J20" s="67" t="str">
        <f t="shared" si="0"/>
        <v/>
      </c>
      <c r="K20" s="70"/>
      <c r="L20" s="70"/>
      <c r="M20" s="69" t="str">
        <f t="shared" si="1"/>
        <v/>
      </c>
      <c r="N20" s="3">
        <f t="shared" si="2"/>
        <v>0</v>
      </c>
      <c r="S20" s="3">
        <v>17</v>
      </c>
    </row>
    <row r="21" spans="5:19">
      <c r="J21" s="67" t="str">
        <f t="shared" si="0"/>
        <v/>
      </c>
      <c r="K21" s="70"/>
      <c r="L21" s="70"/>
      <c r="M21" s="69" t="str">
        <f t="shared" si="1"/>
        <v/>
      </c>
      <c r="N21" s="3">
        <f t="shared" si="2"/>
        <v>0</v>
      </c>
      <c r="S21" s="3">
        <v>18</v>
      </c>
    </row>
    <row r="22" spans="5:19">
      <c r="J22" s="67" t="str">
        <f t="shared" si="0"/>
        <v/>
      </c>
      <c r="K22" s="70"/>
      <c r="L22" s="70"/>
      <c r="M22" s="69" t="str">
        <f t="shared" si="1"/>
        <v/>
      </c>
      <c r="N22" s="3">
        <f t="shared" si="2"/>
        <v>0</v>
      </c>
      <c r="S22" s="3">
        <v>19</v>
      </c>
    </row>
    <row r="23" spans="5:19">
      <c r="J23" s="67" t="str">
        <f t="shared" si="0"/>
        <v/>
      </c>
      <c r="K23" s="70"/>
      <c r="L23" s="70"/>
      <c r="M23" s="69" t="str">
        <f t="shared" si="1"/>
        <v/>
      </c>
      <c r="N23" s="3">
        <f t="shared" si="2"/>
        <v>0</v>
      </c>
      <c r="S23" s="3">
        <v>20</v>
      </c>
    </row>
    <row r="24" spans="5:19">
      <c r="J24" s="67" t="str">
        <f t="shared" si="0"/>
        <v/>
      </c>
      <c r="K24" s="70"/>
      <c r="L24" s="70"/>
      <c r="M24" s="69" t="str">
        <f t="shared" si="1"/>
        <v/>
      </c>
      <c r="N24" s="3">
        <f t="shared" si="2"/>
        <v>0</v>
      </c>
      <c r="S24" s="3">
        <v>21</v>
      </c>
    </row>
    <row r="25" spans="5:19">
      <c r="J25" s="67" t="str">
        <f t="shared" si="0"/>
        <v/>
      </c>
      <c r="K25" s="70"/>
      <c r="L25" s="70"/>
      <c r="M25" s="69" t="str">
        <f t="shared" si="1"/>
        <v/>
      </c>
      <c r="N25" s="3">
        <f t="shared" si="2"/>
        <v>0</v>
      </c>
      <c r="S25" s="3">
        <v>22</v>
      </c>
    </row>
    <row r="26" spans="5:19">
      <c r="J26" s="67" t="str">
        <f t="shared" si="0"/>
        <v/>
      </c>
      <c r="K26" s="70"/>
      <c r="L26" s="70"/>
      <c r="M26" s="69" t="str">
        <f t="shared" si="1"/>
        <v/>
      </c>
      <c r="N26" s="3">
        <f t="shared" si="2"/>
        <v>0</v>
      </c>
      <c r="S26" s="3">
        <v>23</v>
      </c>
    </row>
    <row r="27" spans="5:19">
      <c r="J27" s="67" t="str">
        <f t="shared" si="0"/>
        <v/>
      </c>
      <c r="K27" s="70"/>
      <c r="L27" s="70"/>
      <c r="M27" s="69" t="str">
        <f t="shared" si="1"/>
        <v/>
      </c>
      <c r="N27" s="3">
        <f t="shared" si="2"/>
        <v>0</v>
      </c>
      <c r="S27" s="3">
        <v>24</v>
      </c>
    </row>
    <row r="28" spans="5:19">
      <c r="J28" s="67" t="str">
        <f t="shared" si="0"/>
        <v/>
      </c>
      <c r="K28" s="70"/>
      <c r="L28" s="70"/>
      <c r="M28" s="69" t="str">
        <f t="shared" si="1"/>
        <v/>
      </c>
      <c r="N28" s="3">
        <f t="shared" si="2"/>
        <v>0</v>
      </c>
      <c r="S28" s="3">
        <v>25</v>
      </c>
    </row>
    <row r="29" spans="5:19">
      <c r="J29" s="67" t="str">
        <f t="shared" si="0"/>
        <v/>
      </c>
      <c r="K29" s="70"/>
      <c r="L29" s="70"/>
      <c r="M29" s="69" t="str">
        <f t="shared" si="1"/>
        <v/>
      </c>
      <c r="N29" s="3">
        <f t="shared" si="2"/>
        <v>0</v>
      </c>
      <c r="S29" s="3">
        <v>26</v>
      </c>
    </row>
    <row r="30" spans="5:19">
      <c r="J30" s="67" t="str">
        <f t="shared" si="0"/>
        <v/>
      </c>
      <c r="K30" s="70"/>
      <c r="L30" s="70"/>
      <c r="M30" s="69" t="str">
        <f t="shared" si="1"/>
        <v/>
      </c>
      <c r="N30" s="3">
        <f t="shared" si="2"/>
        <v>0</v>
      </c>
      <c r="S30" s="3">
        <v>27</v>
      </c>
    </row>
    <row r="31" spans="5:19">
      <c r="J31" s="67" t="str">
        <f t="shared" si="0"/>
        <v/>
      </c>
      <c r="K31" s="70"/>
      <c r="L31" s="70"/>
      <c r="M31" s="69" t="str">
        <f t="shared" si="1"/>
        <v/>
      </c>
      <c r="N31" s="3">
        <f t="shared" si="2"/>
        <v>0</v>
      </c>
      <c r="S31" s="3">
        <v>28</v>
      </c>
    </row>
    <row r="32" spans="5:19">
      <c r="J32" s="67" t="str">
        <f t="shared" si="0"/>
        <v/>
      </c>
      <c r="K32" s="70"/>
      <c r="L32" s="70"/>
      <c r="M32" s="69" t="str">
        <f t="shared" si="1"/>
        <v/>
      </c>
      <c r="N32" s="3">
        <f t="shared" si="2"/>
        <v>0</v>
      </c>
      <c r="S32" s="3">
        <v>29</v>
      </c>
    </row>
    <row r="33" spans="10:19">
      <c r="J33" s="67" t="str">
        <f t="shared" si="0"/>
        <v/>
      </c>
      <c r="K33" s="70"/>
      <c r="L33" s="70"/>
      <c r="M33" s="69" t="str">
        <f t="shared" si="1"/>
        <v/>
      </c>
      <c r="N33" s="3">
        <f t="shared" si="2"/>
        <v>0</v>
      </c>
      <c r="S33" s="3">
        <v>30</v>
      </c>
    </row>
    <row r="34" spans="10:19">
      <c r="J34" s="67" t="str">
        <f t="shared" si="0"/>
        <v/>
      </c>
      <c r="K34" s="70"/>
      <c r="L34" s="70"/>
      <c r="M34" s="69" t="str">
        <f t="shared" si="1"/>
        <v/>
      </c>
      <c r="N34" s="3">
        <f t="shared" si="2"/>
        <v>0</v>
      </c>
      <c r="S34" s="3">
        <v>31</v>
      </c>
    </row>
    <row r="35" spans="10:19">
      <c r="J35" s="67" t="str">
        <f t="shared" si="0"/>
        <v/>
      </c>
      <c r="K35" s="70"/>
      <c r="L35" s="70"/>
      <c r="M35" s="69" t="str">
        <f t="shared" si="1"/>
        <v/>
      </c>
      <c r="N35" s="3">
        <f t="shared" si="2"/>
        <v>0</v>
      </c>
      <c r="S35" s="3">
        <v>32</v>
      </c>
    </row>
    <row r="36" spans="10:19">
      <c r="J36" s="67" t="str">
        <f t="shared" si="0"/>
        <v/>
      </c>
      <c r="K36" s="70"/>
      <c r="L36" s="70"/>
      <c r="M36" s="69" t="str">
        <f t="shared" si="1"/>
        <v/>
      </c>
      <c r="N36" s="3">
        <f t="shared" si="2"/>
        <v>0</v>
      </c>
      <c r="S36" s="3">
        <v>33</v>
      </c>
    </row>
    <row r="37" spans="10:19">
      <c r="J37" s="67" t="str">
        <f t="shared" si="0"/>
        <v/>
      </c>
      <c r="K37" s="70"/>
      <c r="L37" s="70"/>
      <c r="M37" s="69" t="str">
        <f t="shared" si="1"/>
        <v/>
      </c>
      <c r="N37" s="3">
        <f t="shared" si="2"/>
        <v>0</v>
      </c>
      <c r="S37" s="3">
        <v>34</v>
      </c>
    </row>
    <row r="38" spans="10:19">
      <c r="J38" s="67" t="str">
        <f t="shared" si="0"/>
        <v/>
      </c>
      <c r="K38" s="70"/>
      <c r="L38" s="70"/>
      <c r="M38" s="69" t="str">
        <f t="shared" si="1"/>
        <v/>
      </c>
      <c r="N38" s="3">
        <f t="shared" si="2"/>
        <v>0</v>
      </c>
      <c r="S38" s="3">
        <v>35</v>
      </c>
    </row>
    <row r="39" spans="10:19">
      <c r="J39" s="67" t="str">
        <f t="shared" si="0"/>
        <v/>
      </c>
      <c r="K39" s="70"/>
      <c r="L39" s="70"/>
      <c r="M39" s="69" t="str">
        <f t="shared" si="1"/>
        <v/>
      </c>
      <c r="N39" s="3">
        <f t="shared" si="2"/>
        <v>0</v>
      </c>
      <c r="S39" s="3">
        <v>36</v>
      </c>
    </row>
    <row r="40" spans="10:19">
      <c r="J40" s="67" t="str">
        <f t="shared" si="0"/>
        <v/>
      </c>
      <c r="K40" s="70"/>
      <c r="L40" s="70"/>
      <c r="M40" s="71"/>
      <c r="S40" s="3">
        <v>37</v>
      </c>
    </row>
    <row r="41" spans="10:19">
      <c r="J41" s="67" t="str">
        <f t="shared" si="0"/>
        <v/>
      </c>
      <c r="K41" s="70"/>
      <c r="L41" s="70"/>
      <c r="M41" s="71"/>
      <c r="S41" s="3">
        <v>38</v>
      </c>
    </row>
    <row r="42" spans="10:19">
      <c r="J42" s="67" t="str">
        <f t="shared" si="0"/>
        <v/>
      </c>
      <c r="K42" s="70"/>
      <c r="L42" s="70"/>
      <c r="M42" s="71"/>
      <c r="S42" s="3">
        <v>39</v>
      </c>
    </row>
    <row r="43" spans="10:19">
      <c r="J43" s="67" t="str">
        <f t="shared" si="0"/>
        <v/>
      </c>
      <c r="K43" s="70"/>
      <c r="L43" s="70"/>
      <c r="M43" s="71"/>
      <c r="S43" s="3">
        <v>40</v>
      </c>
    </row>
    <row r="44" spans="10:19">
      <c r="J44" s="67" t="str">
        <f t="shared" si="0"/>
        <v/>
      </c>
      <c r="K44" s="70"/>
      <c r="L44" s="70"/>
      <c r="M44" s="71"/>
      <c r="S44" s="3">
        <v>41</v>
      </c>
    </row>
    <row r="45" spans="10:19">
      <c r="J45" s="67" t="str">
        <f t="shared" si="0"/>
        <v/>
      </c>
      <c r="K45" s="70"/>
      <c r="L45" s="70"/>
      <c r="M45" s="71"/>
      <c r="S45" s="3">
        <v>42</v>
      </c>
    </row>
    <row r="46" spans="10:19">
      <c r="J46" s="67" t="str">
        <f t="shared" si="0"/>
        <v/>
      </c>
      <c r="K46" s="70"/>
      <c r="L46" s="70"/>
      <c r="M46" s="71"/>
      <c r="S46" s="3">
        <v>43</v>
      </c>
    </row>
    <row r="47" spans="10:19">
      <c r="J47" s="67" t="str">
        <f t="shared" si="0"/>
        <v/>
      </c>
      <c r="K47" s="70"/>
      <c r="L47" s="70"/>
      <c r="M47" s="71"/>
      <c r="S47" s="3">
        <v>44</v>
      </c>
    </row>
    <row r="48" spans="10:19">
      <c r="J48" s="67" t="str">
        <f t="shared" si="0"/>
        <v/>
      </c>
      <c r="K48" s="70"/>
      <c r="L48" s="70"/>
      <c r="M48" s="71"/>
      <c r="S48" s="3">
        <v>45</v>
      </c>
    </row>
    <row r="49" spans="10:19">
      <c r="J49" s="67" t="str">
        <f t="shared" si="0"/>
        <v/>
      </c>
      <c r="K49" s="70"/>
      <c r="L49" s="70"/>
      <c r="M49" s="71"/>
      <c r="S49" s="3">
        <v>46</v>
      </c>
    </row>
    <row r="50" spans="10:19">
      <c r="J50" s="67" t="str">
        <f t="shared" si="0"/>
        <v/>
      </c>
      <c r="K50" s="70"/>
      <c r="L50" s="70"/>
      <c r="M50" s="71"/>
      <c r="S50" s="3">
        <v>47</v>
      </c>
    </row>
    <row r="51" spans="10:19">
      <c r="J51" s="67" t="str">
        <f t="shared" si="0"/>
        <v/>
      </c>
      <c r="K51" s="70"/>
      <c r="L51" s="70"/>
      <c r="M51" s="71"/>
      <c r="S51" s="3">
        <v>48</v>
      </c>
    </row>
    <row r="52" spans="10:19">
      <c r="J52" s="67" t="str">
        <f t="shared" si="0"/>
        <v/>
      </c>
      <c r="K52" s="70"/>
      <c r="L52" s="70"/>
      <c r="M52" s="71"/>
      <c r="S52" s="3">
        <v>49</v>
      </c>
    </row>
    <row r="53" spans="10:19">
      <c r="J53" s="67" t="str">
        <f t="shared" si="0"/>
        <v/>
      </c>
      <c r="K53" s="70"/>
      <c r="L53" s="70"/>
      <c r="M53" s="71"/>
      <c r="S53" s="3">
        <v>50</v>
      </c>
    </row>
    <row r="54" spans="10:19">
      <c r="J54" s="67" t="str">
        <f t="shared" si="0"/>
        <v/>
      </c>
      <c r="K54" s="70"/>
      <c r="L54" s="70"/>
      <c r="M54" s="71"/>
      <c r="S54" s="3">
        <v>51</v>
      </c>
    </row>
    <row r="55" spans="10:19">
      <c r="J55" s="67" t="str">
        <f t="shared" si="0"/>
        <v/>
      </c>
      <c r="K55" s="70"/>
      <c r="L55" s="70"/>
      <c r="M55" s="71"/>
      <c r="S55" s="3">
        <v>52</v>
      </c>
    </row>
    <row r="56" spans="10:19">
      <c r="J56" s="67" t="str">
        <f t="shared" si="0"/>
        <v/>
      </c>
      <c r="K56" s="70"/>
      <c r="L56" s="70"/>
      <c r="M56" s="71"/>
      <c r="S56" s="3">
        <v>53</v>
      </c>
    </row>
    <row r="57" spans="10:19">
      <c r="J57" s="67" t="str">
        <f t="shared" si="0"/>
        <v/>
      </c>
      <c r="K57" s="70"/>
      <c r="L57" s="70"/>
      <c r="M57" s="71"/>
      <c r="S57" s="3">
        <v>54</v>
      </c>
    </row>
    <row r="58" spans="10:19">
      <c r="J58" s="67" t="str">
        <f t="shared" si="0"/>
        <v/>
      </c>
      <c r="K58" s="70"/>
      <c r="L58" s="70"/>
      <c r="M58" s="71"/>
      <c r="S58" s="3">
        <v>55</v>
      </c>
    </row>
    <row r="59" spans="10:19">
      <c r="J59" s="67" t="str">
        <f t="shared" si="0"/>
        <v/>
      </c>
      <c r="K59" s="70"/>
      <c r="L59" s="70"/>
      <c r="M59" s="71"/>
      <c r="S59" s="3">
        <v>56</v>
      </c>
    </row>
    <row r="60" spans="10:19">
      <c r="J60" s="67" t="str">
        <f t="shared" si="0"/>
        <v/>
      </c>
      <c r="K60" s="70"/>
      <c r="L60" s="70"/>
      <c r="M60" s="71"/>
      <c r="S60" s="3">
        <v>57</v>
      </c>
    </row>
    <row r="61" spans="10:19">
      <c r="J61" s="67" t="str">
        <f t="shared" si="0"/>
        <v/>
      </c>
      <c r="K61" s="70"/>
      <c r="L61" s="70"/>
      <c r="M61" s="71"/>
      <c r="S61" s="3">
        <v>58</v>
      </c>
    </row>
    <row r="62" spans="10:19">
      <c r="J62" s="67" t="str">
        <f t="shared" si="0"/>
        <v/>
      </c>
      <c r="K62" s="70"/>
      <c r="L62" s="70"/>
      <c r="M62" s="71"/>
      <c r="S62" s="3">
        <v>59</v>
      </c>
    </row>
    <row r="63" spans="10:19">
      <c r="J63" s="67" t="str">
        <f t="shared" si="0"/>
        <v/>
      </c>
      <c r="K63" s="70"/>
      <c r="L63" s="70"/>
      <c r="M63" s="71"/>
      <c r="S63" s="3">
        <v>60</v>
      </c>
    </row>
    <row r="64" spans="10:19">
      <c r="J64" s="67" t="str">
        <f t="shared" si="0"/>
        <v/>
      </c>
      <c r="K64" s="70"/>
      <c r="L64" s="70"/>
      <c r="M64" s="71"/>
      <c r="S64" s="3">
        <v>61</v>
      </c>
    </row>
    <row r="65" spans="10:19">
      <c r="J65" s="67" t="str">
        <f t="shared" si="0"/>
        <v/>
      </c>
      <c r="K65" s="70"/>
      <c r="L65" s="70"/>
      <c r="M65" s="71"/>
      <c r="S65" s="3">
        <v>62</v>
      </c>
    </row>
    <row r="66" spans="10:19">
      <c r="J66" s="67" t="str">
        <f t="shared" si="0"/>
        <v/>
      </c>
      <c r="K66" s="70"/>
      <c r="L66" s="70"/>
      <c r="M66" s="71"/>
      <c r="S66" s="3">
        <v>63</v>
      </c>
    </row>
    <row r="67" spans="10:19">
      <c r="J67" s="67" t="str">
        <f t="shared" si="0"/>
        <v/>
      </c>
      <c r="K67" s="70"/>
      <c r="L67" s="70"/>
      <c r="M67" s="71"/>
      <c r="S67" s="3">
        <v>64</v>
      </c>
    </row>
    <row r="68" spans="10:19">
      <c r="J68" s="67" t="str">
        <f t="shared" si="0"/>
        <v/>
      </c>
      <c r="K68" s="70"/>
      <c r="L68" s="70"/>
      <c r="M68" s="71"/>
      <c r="S68" s="3">
        <v>65</v>
      </c>
    </row>
    <row r="69" spans="10:19">
      <c r="J69" s="67" t="str">
        <f t="shared" ref="J69:J103" si="3">IF(ISNUMBER(K69),"Turno "&amp;S69,"")</f>
        <v/>
      </c>
      <c r="K69" s="70"/>
      <c r="L69" s="70"/>
      <c r="M69" s="71"/>
      <c r="S69" s="3">
        <v>66</v>
      </c>
    </row>
    <row r="70" spans="10:19">
      <c r="J70" s="67" t="str">
        <f t="shared" si="3"/>
        <v/>
      </c>
      <c r="K70" s="70"/>
      <c r="L70" s="70"/>
      <c r="M70" s="71"/>
      <c r="S70" s="3">
        <v>67</v>
      </c>
    </row>
    <row r="71" spans="10:19">
      <c r="J71" s="67" t="str">
        <f t="shared" si="3"/>
        <v/>
      </c>
      <c r="K71" s="70"/>
      <c r="L71" s="70"/>
      <c r="M71" s="71"/>
      <c r="S71" s="3">
        <v>68</v>
      </c>
    </row>
    <row r="72" spans="10:19">
      <c r="J72" s="67" t="str">
        <f t="shared" si="3"/>
        <v/>
      </c>
      <c r="K72" s="70"/>
      <c r="L72" s="70"/>
      <c r="M72" s="71"/>
      <c r="S72" s="3">
        <v>69</v>
      </c>
    </row>
    <row r="73" spans="10:19">
      <c r="J73" s="67" t="str">
        <f t="shared" si="3"/>
        <v/>
      </c>
      <c r="K73" s="70"/>
      <c r="L73" s="70"/>
      <c r="M73" s="71"/>
      <c r="S73" s="3">
        <v>70</v>
      </c>
    </row>
    <row r="74" spans="10:19">
      <c r="J74" s="67" t="str">
        <f t="shared" si="3"/>
        <v/>
      </c>
      <c r="K74" s="70"/>
      <c r="L74" s="70"/>
      <c r="M74" s="71"/>
      <c r="S74" s="3">
        <v>71</v>
      </c>
    </row>
    <row r="75" spans="10:19">
      <c r="J75" s="67" t="str">
        <f t="shared" si="3"/>
        <v/>
      </c>
      <c r="K75" s="70"/>
      <c r="L75" s="70"/>
      <c r="M75" s="71"/>
      <c r="S75" s="3">
        <v>72</v>
      </c>
    </row>
    <row r="76" spans="10:19">
      <c r="J76" s="67" t="str">
        <f t="shared" si="3"/>
        <v/>
      </c>
      <c r="K76" s="70"/>
      <c r="L76" s="70"/>
      <c r="M76" s="71"/>
      <c r="S76" s="3">
        <v>73</v>
      </c>
    </row>
    <row r="77" spans="10:19">
      <c r="J77" s="67" t="str">
        <f t="shared" si="3"/>
        <v/>
      </c>
      <c r="K77" s="70"/>
      <c r="L77" s="70"/>
      <c r="M77" s="71"/>
      <c r="S77" s="3">
        <v>74</v>
      </c>
    </row>
    <row r="78" spans="10:19">
      <c r="J78" s="67" t="str">
        <f t="shared" si="3"/>
        <v/>
      </c>
      <c r="K78" s="70"/>
      <c r="L78" s="70"/>
      <c r="M78" s="71"/>
      <c r="S78" s="3">
        <v>75</v>
      </c>
    </row>
    <row r="79" spans="10:19">
      <c r="J79" s="67" t="str">
        <f t="shared" si="3"/>
        <v/>
      </c>
      <c r="K79" s="70"/>
      <c r="L79" s="70"/>
      <c r="M79" s="71"/>
      <c r="S79" s="3">
        <v>76</v>
      </c>
    </row>
    <row r="80" spans="10:19">
      <c r="J80" s="67" t="str">
        <f t="shared" si="3"/>
        <v/>
      </c>
      <c r="K80" s="70"/>
      <c r="L80" s="70"/>
      <c r="M80" s="71"/>
      <c r="S80" s="3">
        <v>77</v>
      </c>
    </row>
    <row r="81" spans="10:19">
      <c r="J81" s="67" t="str">
        <f t="shared" si="3"/>
        <v/>
      </c>
      <c r="K81" s="70"/>
      <c r="L81" s="70"/>
      <c r="M81" s="71"/>
      <c r="S81" s="3">
        <v>78</v>
      </c>
    </row>
    <row r="82" spans="10:19">
      <c r="J82" s="67" t="str">
        <f t="shared" si="3"/>
        <v/>
      </c>
      <c r="K82" s="70"/>
      <c r="L82" s="70"/>
      <c r="M82" s="71"/>
      <c r="S82" s="3">
        <v>79</v>
      </c>
    </row>
    <row r="83" spans="10:19">
      <c r="J83" s="67" t="str">
        <f t="shared" si="3"/>
        <v/>
      </c>
      <c r="K83" s="70"/>
      <c r="L83" s="70"/>
      <c r="M83" s="71"/>
      <c r="S83" s="3">
        <v>80</v>
      </c>
    </row>
    <row r="84" spans="10:19">
      <c r="J84" s="67" t="str">
        <f t="shared" si="3"/>
        <v/>
      </c>
      <c r="K84" s="70"/>
      <c r="L84" s="70"/>
      <c r="M84" s="71"/>
      <c r="S84" s="3">
        <v>81</v>
      </c>
    </row>
    <row r="85" spans="10:19">
      <c r="J85" s="67" t="str">
        <f t="shared" si="3"/>
        <v/>
      </c>
      <c r="K85" s="70"/>
      <c r="L85" s="70"/>
      <c r="M85" s="71"/>
      <c r="S85" s="3">
        <v>82</v>
      </c>
    </row>
    <row r="86" spans="10:19">
      <c r="J86" s="67" t="str">
        <f t="shared" si="3"/>
        <v/>
      </c>
      <c r="K86" s="70"/>
      <c r="L86" s="70"/>
      <c r="M86" s="71"/>
      <c r="S86" s="3">
        <v>83</v>
      </c>
    </row>
    <row r="87" spans="10:19">
      <c r="J87" s="67" t="str">
        <f t="shared" si="3"/>
        <v/>
      </c>
      <c r="K87" s="70"/>
      <c r="L87" s="70"/>
      <c r="M87" s="71"/>
      <c r="S87" s="3">
        <v>84</v>
      </c>
    </row>
    <row r="88" spans="10:19">
      <c r="J88" s="67" t="str">
        <f t="shared" si="3"/>
        <v/>
      </c>
      <c r="K88" s="70"/>
      <c r="L88" s="70"/>
      <c r="M88" s="71"/>
      <c r="S88" s="3">
        <v>85</v>
      </c>
    </row>
    <row r="89" spans="10:19">
      <c r="J89" s="67" t="str">
        <f t="shared" si="3"/>
        <v/>
      </c>
      <c r="K89" s="70"/>
      <c r="L89" s="70"/>
      <c r="M89" s="71"/>
      <c r="S89" s="3">
        <v>86</v>
      </c>
    </row>
    <row r="90" spans="10:19">
      <c r="J90" s="67" t="str">
        <f t="shared" si="3"/>
        <v/>
      </c>
      <c r="K90" s="70"/>
      <c r="L90" s="70"/>
      <c r="M90" s="71"/>
      <c r="S90" s="3">
        <v>87</v>
      </c>
    </row>
    <row r="91" spans="10:19">
      <c r="J91" s="67" t="str">
        <f t="shared" si="3"/>
        <v/>
      </c>
      <c r="K91" s="70"/>
      <c r="L91" s="70"/>
      <c r="M91" s="71"/>
      <c r="S91" s="3">
        <v>88</v>
      </c>
    </row>
    <row r="92" spans="10:19">
      <c r="J92" s="67" t="str">
        <f t="shared" si="3"/>
        <v/>
      </c>
      <c r="K92" s="70"/>
      <c r="L92" s="70"/>
      <c r="M92" s="71"/>
      <c r="S92" s="3">
        <v>89</v>
      </c>
    </row>
    <row r="93" spans="10:19">
      <c r="J93" s="67" t="str">
        <f t="shared" si="3"/>
        <v/>
      </c>
      <c r="K93" s="70"/>
      <c r="L93" s="70"/>
      <c r="M93" s="71"/>
      <c r="S93" s="3">
        <v>90</v>
      </c>
    </row>
    <row r="94" spans="10:19">
      <c r="J94" s="67" t="str">
        <f t="shared" si="3"/>
        <v/>
      </c>
      <c r="K94" s="70"/>
      <c r="L94" s="70"/>
      <c r="M94" s="71"/>
      <c r="S94" s="3">
        <v>91</v>
      </c>
    </row>
    <row r="95" spans="10:19">
      <c r="J95" s="67" t="str">
        <f t="shared" si="3"/>
        <v/>
      </c>
      <c r="K95" s="70"/>
      <c r="L95" s="70"/>
      <c r="M95" s="71"/>
      <c r="S95" s="3">
        <v>92</v>
      </c>
    </row>
    <row r="96" spans="10:19">
      <c r="J96" s="67" t="str">
        <f t="shared" si="3"/>
        <v/>
      </c>
      <c r="K96" s="70"/>
      <c r="L96" s="70"/>
      <c r="M96" s="71"/>
      <c r="S96" s="3">
        <v>93</v>
      </c>
    </row>
    <row r="97" spans="10:19">
      <c r="J97" s="67" t="str">
        <f t="shared" si="3"/>
        <v/>
      </c>
      <c r="K97" s="70"/>
      <c r="L97" s="70"/>
      <c r="M97" s="71"/>
      <c r="S97" s="3">
        <v>94</v>
      </c>
    </row>
    <row r="98" spans="10:19">
      <c r="J98" s="67" t="str">
        <f t="shared" si="3"/>
        <v/>
      </c>
      <c r="K98" s="70"/>
      <c r="L98" s="70"/>
      <c r="M98" s="71"/>
      <c r="S98" s="3">
        <v>95</v>
      </c>
    </row>
    <row r="99" spans="10:19">
      <c r="J99" s="67" t="str">
        <f t="shared" si="3"/>
        <v/>
      </c>
      <c r="K99" s="70"/>
      <c r="L99" s="70"/>
      <c r="M99" s="71"/>
      <c r="S99" s="3">
        <v>96</v>
      </c>
    </row>
    <row r="100" spans="10:19">
      <c r="J100" s="67" t="str">
        <f t="shared" si="3"/>
        <v/>
      </c>
      <c r="K100" s="70"/>
      <c r="L100" s="70"/>
      <c r="M100" s="71"/>
      <c r="S100" s="3">
        <v>97</v>
      </c>
    </row>
    <row r="101" spans="10:19">
      <c r="J101" s="67" t="str">
        <f t="shared" si="3"/>
        <v/>
      </c>
      <c r="K101" s="70"/>
      <c r="L101" s="70"/>
      <c r="M101" s="71"/>
      <c r="S101" s="3">
        <v>98</v>
      </c>
    </row>
    <row r="102" spans="10:19">
      <c r="J102" s="67" t="str">
        <f t="shared" si="3"/>
        <v/>
      </c>
      <c r="K102" s="70"/>
      <c r="L102" s="70"/>
      <c r="M102" s="71"/>
      <c r="S102" s="3">
        <v>99</v>
      </c>
    </row>
    <row r="103" spans="10:19" ht="16.2" thickBot="1">
      <c r="J103" s="72" t="str">
        <f t="shared" si="3"/>
        <v/>
      </c>
      <c r="K103" s="73"/>
      <c r="L103" s="73"/>
      <c r="M103" s="74"/>
      <c r="S103" s="3">
        <v>100</v>
      </c>
    </row>
  </sheetData>
  <pageMargins left="0.75" right="0.75" top="1" bottom="1" header="0.5" footer="0.5"/>
  <pageSetup orientation="portrait" horizontalDpi="4294967292" verticalDpi="4294967292" r:id="rId1"/>
  <drawing r:id="rId2"/>
  <legacyDrawing r:id="rId3"/>
  <oleObjects>
    <mc:AlternateContent xmlns:mc="http://schemas.openxmlformats.org/markup-compatibility/2006">
      <mc:Choice Requires="x14">
        <oleObject shapeId="1028">
          <objectPr defaultSize="0" autoFill="0" autoPict="0" dde="1">
            <anchor moveWithCells="1">
              <from>
                <xdr:col>1</xdr:col>
                <xdr:colOff>0</xdr:colOff>
                <xdr:row>2</xdr:row>
                <xdr:rowOff>137160</xdr:rowOff>
              </from>
              <to>
                <xdr:col>7</xdr:col>
                <xdr:colOff>0</xdr:colOff>
                <xdr:row>11</xdr:row>
                <xdr:rowOff>45720</xdr:rowOff>
              </to>
            </anchor>
          </objectPr>
        </oleObject>
      </mc:Choice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trada_turno">
                <anchor moveWithCells="1" sizeWithCells="1">
                  <from>
                    <xdr:col>4</xdr:col>
                    <xdr:colOff>495300</xdr:colOff>
                    <xdr:row>4</xdr:row>
                    <xdr:rowOff>15240</xdr:rowOff>
                  </from>
                  <to>
                    <xdr:col>6</xdr:col>
                    <xdr:colOff>99060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salida_turno">
                <anchor moveWithCells="1" sizeWithCells="1">
                  <from>
                    <xdr:col>4</xdr:col>
                    <xdr:colOff>502920</xdr:colOff>
                    <xdr:row>7</xdr:row>
                    <xdr:rowOff>91440</xdr:rowOff>
                  </from>
                  <to>
                    <xdr:col>6</xdr:col>
                    <xdr:colOff>99060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Group Box 4">
              <controlPr defaultSize="0" autoFill="0" autoPict="0">
                <anchor moveWithCells="1">
                  <from>
                    <xdr:col>1</xdr:col>
                    <xdr:colOff>0</xdr:colOff>
                    <xdr:row>2</xdr:row>
                    <xdr:rowOff>137160</xdr:rowOff>
                  </from>
                  <to>
                    <xdr:col>7</xdr:col>
                    <xdr:colOff>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7</xdr:col>
                    <xdr:colOff>15240</xdr:colOff>
                    <xdr:row>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exportar_dia_a_resumen">
                <anchor moveWithCells="1" sizeWithCells="1">
                  <from>
                    <xdr:col>4</xdr:col>
                    <xdr:colOff>525780</xdr:colOff>
                    <xdr:row>20</xdr:row>
                    <xdr:rowOff>160020</xdr:rowOff>
                  </from>
                  <to>
                    <xdr:col>6</xdr:col>
                    <xdr:colOff>83820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limpiar_hoja_calculo_turnos">
                <anchor moveWithCells="1" sizeWithCells="1">
                  <from>
                    <xdr:col>4</xdr:col>
                    <xdr:colOff>518160</xdr:colOff>
                    <xdr:row>24</xdr:row>
                    <xdr:rowOff>45720</xdr:rowOff>
                  </from>
                  <to>
                    <xdr:col>6</xdr:col>
                    <xdr:colOff>76200</xdr:colOff>
                    <xdr:row>26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074"/>
  <sheetViews>
    <sheetView topLeftCell="B1" zoomScaleNormal="100" workbookViewId="0">
      <selection activeCell="AI11" sqref="AI11"/>
    </sheetView>
  </sheetViews>
  <sheetFormatPr defaultRowHeight="15.6"/>
  <cols>
    <col min="1" max="1" width="8" style="39" hidden="1" customWidth="1"/>
    <col min="2" max="2" width="10.09765625" style="83" bestFit="1" customWidth="1"/>
    <col min="3" max="3" width="11.8984375" style="84" bestFit="1" customWidth="1"/>
    <col min="4" max="4" width="12.796875" style="45" bestFit="1" customWidth="1"/>
    <col min="5" max="5" width="12.796875" style="30" hidden="1" customWidth="1"/>
    <col min="6" max="8" width="12.796875" style="36" hidden="1" customWidth="1"/>
    <col min="9" max="9" width="30.3984375" style="36" hidden="1" customWidth="1"/>
    <col min="10" max="10" width="10.09765625" style="3" hidden="1" customWidth="1"/>
    <col min="11" max="11" width="11.69921875" style="3" hidden="1" customWidth="1"/>
    <col min="12" max="13" width="1.796875" style="3" hidden="1" customWidth="1"/>
    <col min="14" max="14" width="10.69921875" style="3" hidden="1" customWidth="1"/>
    <col min="15" max="15" width="8.796875" style="3" hidden="1" customWidth="1"/>
    <col min="16" max="17" width="20" style="3" hidden="1" customWidth="1"/>
    <col min="18" max="18" width="41.8984375" style="3" hidden="1" customWidth="1"/>
    <col min="19" max="19" width="3.3984375" style="46" customWidth="1"/>
    <col min="20" max="20" width="39.296875" style="46" bestFit="1" customWidth="1"/>
    <col min="21" max="21" width="20" style="48" bestFit="1" customWidth="1"/>
    <col min="22" max="22" width="5.69921875" style="61" customWidth="1"/>
    <col min="23" max="23" width="20" style="63" hidden="1" customWidth="1"/>
    <col min="24" max="25" width="0" style="57" hidden="1" customWidth="1"/>
    <col min="26" max="26" width="21.59765625" style="57" bestFit="1" customWidth="1"/>
    <col min="27" max="27" width="16.5" style="62" bestFit="1" customWidth="1"/>
    <col min="28" max="28" width="11.69921875" style="3" bestFit="1" customWidth="1"/>
    <col min="29" max="16384" width="8.796875" style="3"/>
  </cols>
  <sheetData>
    <row r="1" spans="1:27">
      <c r="A1" s="38"/>
      <c r="B1" s="41" t="s">
        <v>30</v>
      </c>
      <c r="C1" s="42" t="s">
        <v>31</v>
      </c>
      <c r="D1" s="43" t="s">
        <v>32</v>
      </c>
      <c r="E1" s="33">
        <f ca="1">TODAY()</f>
        <v>43398</v>
      </c>
      <c r="F1" s="37" t="s">
        <v>45</v>
      </c>
      <c r="G1" s="37" t="s">
        <v>46</v>
      </c>
      <c r="H1" s="37" t="s">
        <v>47</v>
      </c>
      <c r="I1" s="37" t="s">
        <v>50</v>
      </c>
      <c r="J1" s="3" t="s">
        <v>48</v>
      </c>
      <c r="K1" s="3" t="s">
        <v>49</v>
      </c>
      <c r="L1" s="3">
        <v>1</v>
      </c>
      <c r="O1" s="3" t="s">
        <v>32</v>
      </c>
      <c r="T1" s="47" t="s">
        <v>51</v>
      </c>
      <c r="V1" s="50"/>
      <c r="W1" s="51" t="s">
        <v>57</v>
      </c>
      <c r="X1" s="52"/>
      <c r="Y1" s="52"/>
      <c r="Z1" s="53" t="s">
        <v>54</v>
      </c>
      <c r="AA1" s="54"/>
    </row>
    <row r="2" spans="1:27">
      <c r="A2" s="39" t="str">
        <f>IF(ISNUMBER(B2),WEEKNUM(B2),"")</f>
        <v/>
      </c>
      <c r="B2" s="81"/>
      <c r="C2" s="82"/>
      <c r="D2" s="44" t="str">
        <f>IF(ISNUMBER(C2),IF(A2=A3,D3,E2),"")</f>
        <v/>
      </c>
      <c r="E2" s="31">
        <f>C2</f>
        <v>0</v>
      </c>
      <c r="F2" s="36" t="str">
        <f>IF(G2=0,"",IF(G2&lt;8,1,IF(G2&lt;15,2,IF(G2&lt;22,3,4))))</f>
        <v/>
      </c>
      <c r="G2" s="36">
        <f>DAY(B2)</f>
        <v>0</v>
      </c>
      <c r="H2" s="3" t="str">
        <f>IF(ISNUMBER(B2),VLOOKUP(MONTH(B2),$J$2:$K$13,2,FALSE),"")</f>
        <v/>
      </c>
      <c r="I2" s="3">
        <f>IF(A2&lt;&gt;A3,1,0)</f>
        <v>0</v>
      </c>
      <c r="J2" s="34">
        <v>1</v>
      </c>
      <c r="K2" s="35" t="s">
        <v>33</v>
      </c>
      <c r="L2" s="35">
        <f t="shared" ref="L2:L10" si="0">IF(I1=1,L1+I1,L1)</f>
        <v>1</v>
      </c>
      <c r="M2" s="35" t="str">
        <f>IF(L2=L3,"",L2)</f>
        <v/>
      </c>
      <c r="N2" s="3" t="str">
        <f>IF(I2=1,"Semana #"&amp;A2&amp;" del año y Semana #"&amp;F2&amp;" de "&amp;H2,"")</f>
        <v/>
      </c>
      <c r="O2" s="27" t="str">
        <f>D2</f>
        <v/>
      </c>
      <c r="P2" s="3">
        <v>0</v>
      </c>
      <c r="T2" s="47" t="s">
        <v>52</v>
      </c>
      <c r="U2" s="49" t="s">
        <v>53</v>
      </c>
      <c r="V2" s="55" t="s">
        <v>58</v>
      </c>
      <c r="W2" s="56">
        <f t="shared" ref="W2:W65" si="1">IF(H2&lt;&gt;H3,1,0)</f>
        <v>0</v>
      </c>
      <c r="X2" s="57" t="str">
        <f t="shared" ref="X2:X65" si="2">IF(W2=1,H2,"")</f>
        <v/>
      </c>
      <c r="Y2" s="58" t="str">
        <f t="shared" ref="Y2:Y65" si="3">D2</f>
        <v/>
      </c>
      <c r="Z2" s="59" t="s">
        <v>55</v>
      </c>
      <c r="AA2" s="60" t="s">
        <v>56</v>
      </c>
    </row>
    <row r="3" spans="1:27">
      <c r="A3" s="39" t="str">
        <f t="shared" ref="A3:A66" si="4">IF(ISNUMBER(B3),WEEKNUM(B3),"")</f>
        <v/>
      </c>
      <c r="B3" s="81"/>
      <c r="C3" s="82"/>
      <c r="D3" s="44" t="str">
        <f t="shared" ref="D3:D66" si="5">IF(ISNUMBER(C3),IF(A3=A4,D4,E3),"")</f>
        <v/>
      </c>
      <c r="E3" s="30" t="str">
        <f>IF(A3&lt;&gt;A2,TEXT(C3,"hh:mm:ss"),TEXT(C3+E2,"hh:mm:ss"))</f>
        <v>00:00:00</v>
      </c>
      <c r="F3" s="36" t="str">
        <f t="shared" ref="F3:F66" si="6">IF(G3=0,"",IF(G3&lt;8,1,IF(G3&lt;15,2,IF(G3&lt;22,3,4))))</f>
        <v/>
      </c>
      <c r="G3" s="36">
        <f t="shared" ref="G3:G66" si="7">DAY(B3)</f>
        <v>0</v>
      </c>
      <c r="H3" s="3" t="str">
        <f t="shared" ref="H3:H66" si="8">IF(ISNUMBER(B3),VLOOKUP(MONTH(B3),$J$2:$K$13,2,FALSE),"")</f>
        <v/>
      </c>
      <c r="I3" s="3">
        <f>IF(A3&lt;&gt;A4,1,0)</f>
        <v>0</v>
      </c>
      <c r="J3" s="34">
        <v>2</v>
      </c>
      <c r="K3" s="35" t="s">
        <v>34</v>
      </c>
      <c r="L3" s="35">
        <f t="shared" si="0"/>
        <v>1</v>
      </c>
      <c r="M3" s="35" t="str">
        <f>IF(L3=L4,"",L3)</f>
        <v/>
      </c>
      <c r="N3" s="3" t="str">
        <f t="shared" ref="N3:N66" si="9">IF(I3=1,"Semana #"&amp;A3&amp;" del año y Semana #"&amp;F3&amp;" de "&amp;H3,"")</f>
        <v/>
      </c>
      <c r="O3" s="27" t="str">
        <f t="shared" ref="O3:O66" si="10">D3</f>
        <v/>
      </c>
      <c r="P3" s="3">
        <v>1</v>
      </c>
      <c r="Q3" s="3" t="e">
        <f>VLOOKUP(P3,M:O,3,FALSE)</f>
        <v>#N/A</v>
      </c>
      <c r="R3" s="3" t="e">
        <f>VLOOKUP(P3,M:N,2,FALSE)</f>
        <v>#N/A</v>
      </c>
      <c r="T3" s="46" t="str">
        <f t="shared" ref="T3:T66" si="11">IFERROR(R3,"")</f>
        <v/>
      </c>
      <c r="U3" s="48" t="str">
        <f t="shared" ref="U3:U66" si="12">IFERROR(Q3,"")</f>
        <v/>
      </c>
      <c r="V3" s="39">
        <v>2018</v>
      </c>
      <c r="W3" s="85">
        <f t="shared" si="1"/>
        <v>0</v>
      </c>
      <c r="X3" s="11" t="str">
        <f t="shared" si="2"/>
        <v/>
      </c>
      <c r="Y3" s="86" t="str">
        <f t="shared" si="3"/>
        <v/>
      </c>
      <c r="Z3" s="11" t="s">
        <v>42</v>
      </c>
      <c r="AA3" s="62" t="str">
        <f>IFERROR(VLOOKUP(Z3,X:Y,2,FALSE),"")</f>
        <v/>
      </c>
    </row>
    <row r="4" spans="1:27">
      <c r="A4" s="39" t="str">
        <f t="shared" si="4"/>
        <v/>
      </c>
      <c r="B4" s="81"/>
      <c r="C4" s="82"/>
      <c r="D4" s="44" t="str">
        <f t="shared" si="5"/>
        <v/>
      </c>
      <c r="E4" s="30" t="str">
        <f t="shared" ref="E4:E67" si="13">IF(A4&lt;&gt;A3,TEXT(C4,"hh:mm:ss"),TEXT(C4+E3,"hh:mm:ss"))</f>
        <v>00:00:00</v>
      </c>
      <c r="F4" s="36" t="str">
        <f t="shared" si="6"/>
        <v/>
      </c>
      <c r="G4" s="36">
        <f t="shared" si="7"/>
        <v>0</v>
      </c>
      <c r="H4" s="3" t="str">
        <f t="shared" si="8"/>
        <v/>
      </c>
      <c r="I4" s="3">
        <f t="shared" ref="I4:I66" si="14">IF(A4&lt;&gt;A5,1,0)</f>
        <v>0</v>
      </c>
      <c r="J4" s="34">
        <v>3</v>
      </c>
      <c r="K4" s="35" t="s">
        <v>35</v>
      </c>
      <c r="L4" s="35">
        <f t="shared" si="0"/>
        <v>1</v>
      </c>
      <c r="M4" s="35" t="str">
        <f t="shared" ref="M4:M67" si="15">IF(L4=L5,"",L4)</f>
        <v/>
      </c>
      <c r="N4" s="3" t="str">
        <f t="shared" si="9"/>
        <v/>
      </c>
      <c r="O4" s="27" t="str">
        <f t="shared" si="10"/>
        <v/>
      </c>
      <c r="P4" s="3">
        <v>2</v>
      </c>
      <c r="Q4" s="3" t="e">
        <f t="shared" ref="Q4:Q67" si="16">VLOOKUP(P4,M:O,3,FALSE)</f>
        <v>#N/A</v>
      </c>
      <c r="R4" s="3" t="e">
        <f t="shared" ref="R4:R67" si="17">VLOOKUP(P4,M:N,2,FALSE)</f>
        <v>#N/A</v>
      </c>
      <c r="T4" s="46" t="str">
        <f t="shared" si="11"/>
        <v/>
      </c>
      <c r="U4" s="48" t="str">
        <f t="shared" si="12"/>
        <v/>
      </c>
      <c r="V4" s="39">
        <v>2018</v>
      </c>
      <c r="W4" s="85">
        <f t="shared" si="1"/>
        <v>0</v>
      </c>
      <c r="X4" s="11" t="str">
        <f t="shared" si="2"/>
        <v/>
      </c>
      <c r="Y4" s="86" t="str">
        <f t="shared" si="3"/>
        <v/>
      </c>
      <c r="Z4" s="11" t="s">
        <v>43</v>
      </c>
      <c r="AA4" s="62" t="str">
        <f t="shared" ref="AA4:AA67" si="18">IFERROR(VLOOKUP(Z4,X:Y,2,FALSE),"")</f>
        <v/>
      </c>
    </row>
    <row r="5" spans="1:27">
      <c r="A5" s="39" t="str">
        <f t="shared" si="4"/>
        <v/>
      </c>
      <c r="B5" s="81"/>
      <c r="C5" s="82"/>
      <c r="D5" s="44" t="str">
        <f t="shared" si="5"/>
        <v/>
      </c>
      <c r="E5" s="30" t="str">
        <f t="shared" si="13"/>
        <v>00:00:00</v>
      </c>
      <c r="F5" s="36" t="str">
        <f t="shared" si="6"/>
        <v/>
      </c>
      <c r="G5" s="36">
        <f t="shared" si="7"/>
        <v>0</v>
      </c>
      <c r="H5" s="3" t="str">
        <f t="shared" si="8"/>
        <v/>
      </c>
      <c r="I5" s="3">
        <f t="shared" si="14"/>
        <v>0</v>
      </c>
      <c r="J5" s="34">
        <v>4</v>
      </c>
      <c r="K5" s="35" t="s">
        <v>36</v>
      </c>
      <c r="L5" s="35">
        <f t="shared" si="0"/>
        <v>1</v>
      </c>
      <c r="M5" s="35" t="str">
        <f t="shared" si="15"/>
        <v/>
      </c>
      <c r="N5" s="3" t="str">
        <f t="shared" si="9"/>
        <v/>
      </c>
      <c r="O5" s="27" t="str">
        <f t="shared" si="10"/>
        <v/>
      </c>
      <c r="P5" s="3">
        <v>3</v>
      </c>
      <c r="Q5" s="3" t="e">
        <f t="shared" si="16"/>
        <v>#N/A</v>
      </c>
      <c r="R5" s="3" t="e">
        <f t="shared" si="17"/>
        <v>#N/A</v>
      </c>
      <c r="T5" s="46" t="str">
        <f t="shared" si="11"/>
        <v/>
      </c>
      <c r="U5" s="48" t="str">
        <f t="shared" si="12"/>
        <v/>
      </c>
      <c r="V5" s="39">
        <v>2018</v>
      </c>
      <c r="W5" s="85">
        <f t="shared" si="1"/>
        <v>0</v>
      </c>
      <c r="X5" s="11" t="str">
        <f t="shared" si="2"/>
        <v/>
      </c>
      <c r="Y5" s="86" t="str">
        <f t="shared" si="3"/>
        <v/>
      </c>
      <c r="Z5" s="11" t="s">
        <v>44</v>
      </c>
      <c r="AA5" s="62" t="str">
        <f t="shared" si="18"/>
        <v/>
      </c>
    </row>
    <row r="6" spans="1:27">
      <c r="A6" s="39" t="str">
        <f t="shared" si="4"/>
        <v/>
      </c>
      <c r="B6" s="81"/>
      <c r="C6" s="82"/>
      <c r="D6" s="44" t="str">
        <f t="shared" si="5"/>
        <v/>
      </c>
      <c r="E6" s="30" t="str">
        <f t="shared" si="13"/>
        <v>00:00:00</v>
      </c>
      <c r="F6" s="36" t="str">
        <f t="shared" si="6"/>
        <v/>
      </c>
      <c r="G6" s="36">
        <f t="shared" si="7"/>
        <v>0</v>
      </c>
      <c r="H6" s="3" t="str">
        <f t="shared" si="8"/>
        <v/>
      </c>
      <c r="I6" s="3">
        <f t="shared" si="14"/>
        <v>0</v>
      </c>
      <c r="J6" s="34">
        <v>5</v>
      </c>
      <c r="K6" s="35" t="s">
        <v>37</v>
      </c>
      <c r="L6" s="35">
        <f t="shared" si="0"/>
        <v>1</v>
      </c>
      <c r="M6" s="35" t="str">
        <f t="shared" si="15"/>
        <v/>
      </c>
      <c r="N6" s="3" t="str">
        <f t="shared" si="9"/>
        <v/>
      </c>
      <c r="O6" s="27" t="str">
        <f t="shared" si="10"/>
        <v/>
      </c>
      <c r="P6" s="3">
        <v>4</v>
      </c>
      <c r="Q6" s="3" t="e">
        <f t="shared" si="16"/>
        <v>#N/A</v>
      </c>
      <c r="R6" s="3" t="e">
        <f t="shared" si="17"/>
        <v>#N/A</v>
      </c>
      <c r="T6" s="46" t="str">
        <f t="shared" si="11"/>
        <v/>
      </c>
      <c r="U6" s="48" t="str">
        <f t="shared" si="12"/>
        <v/>
      </c>
      <c r="V6" s="39">
        <v>2019</v>
      </c>
      <c r="W6" s="85">
        <f t="shared" si="1"/>
        <v>0</v>
      </c>
      <c r="X6" s="11" t="str">
        <f t="shared" si="2"/>
        <v/>
      </c>
      <c r="Y6" s="86" t="str">
        <f t="shared" si="3"/>
        <v/>
      </c>
      <c r="Z6" s="11" t="s">
        <v>33</v>
      </c>
      <c r="AA6" s="62" t="str">
        <f t="shared" si="18"/>
        <v/>
      </c>
    </row>
    <row r="7" spans="1:27">
      <c r="A7" s="39" t="str">
        <f t="shared" si="4"/>
        <v/>
      </c>
      <c r="B7" s="81"/>
      <c r="C7" s="82"/>
      <c r="D7" s="44" t="str">
        <f t="shared" si="5"/>
        <v/>
      </c>
      <c r="E7" s="30" t="str">
        <f t="shared" si="13"/>
        <v>00:00:00</v>
      </c>
      <c r="F7" s="36" t="str">
        <f t="shared" si="6"/>
        <v/>
      </c>
      <c r="G7" s="36">
        <f t="shared" si="7"/>
        <v>0</v>
      </c>
      <c r="H7" s="3" t="str">
        <f t="shared" si="8"/>
        <v/>
      </c>
      <c r="I7" s="3">
        <f>IF(A7&lt;&gt;A8,1,0)</f>
        <v>0</v>
      </c>
      <c r="J7" s="34">
        <v>6</v>
      </c>
      <c r="K7" s="35" t="s">
        <v>38</v>
      </c>
      <c r="L7" s="35">
        <f t="shared" si="0"/>
        <v>1</v>
      </c>
      <c r="M7" s="35" t="str">
        <f t="shared" si="15"/>
        <v/>
      </c>
      <c r="N7" s="3" t="str">
        <f>IF(I7=1,"Semana #"&amp;A7&amp;" del año y Semana #"&amp;F7&amp;" de "&amp;H7,"")</f>
        <v/>
      </c>
      <c r="O7" s="27" t="str">
        <f t="shared" si="10"/>
        <v/>
      </c>
      <c r="P7" s="3">
        <v>5</v>
      </c>
      <c r="Q7" s="3" t="e">
        <f t="shared" si="16"/>
        <v>#N/A</v>
      </c>
      <c r="R7" s="3" t="e">
        <f t="shared" si="17"/>
        <v>#N/A</v>
      </c>
      <c r="T7" s="46" t="str">
        <f t="shared" si="11"/>
        <v/>
      </c>
      <c r="U7" s="48" t="str">
        <f t="shared" si="12"/>
        <v/>
      </c>
      <c r="V7" s="39">
        <v>2019</v>
      </c>
      <c r="W7" s="85">
        <f t="shared" si="1"/>
        <v>0</v>
      </c>
      <c r="X7" s="11" t="str">
        <f t="shared" si="2"/>
        <v/>
      </c>
      <c r="Y7" s="86" t="str">
        <f t="shared" si="3"/>
        <v/>
      </c>
      <c r="Z7" s="11" t="s">
        <v>34</v>
      </c>
      <c r="AA7" s="62" t="str">
        <f t="shared" si="18"/>
        <v/>
      </c>
    </row>
    <row r="8" spans="1:27">
      <c r="A8" s="39" t="str">
        <f t="shared" si="4"/>
        <v/>
      </c>
      <c r="B8" s="81"/>
      <c r="C8" s="82"/>
      <c r="D8" s="44" t="str">
        <f t="shared" si="5"/>
        <v/>
      </c>
      <c r="E8" s="30" t="str">
        <f t="shared" si="13"/>
        <v>00:00:00</v>
      </c>
      <c r="F8" s="36" t="str">
        <f t="shared" si="6"/>
        <v/>
      </c>
      <c r="G8" s="36">
        <f t="shared" si="7"/>
        <v>0</v>
      </c>
      <c r="H8" s="3" t="str">
        <f t="shared" si="8"/>
        <v/>
      </c>
      <c r="I8" s="3">
        <f t="shared" si="14"/>
        <v>0</v>
      </c>
      <c r="J8" s="34">
        <v>7</v>
      </c>
      <c r="K8" s="35" t="s">
        <v>39</v>
      </c>
      <c r="L8" s="35">
        <f>IF(I7=1,L7+I7,L7)</f>
        <v>1</v>
      </c>
      <c r="M8" s="35" t="str">
        <f t="shared" si="15"/>
        <v/>
      </c>
      <c r="N8" s="3" t="str">
        <f t="shared" si="9"/>
        <v/>
      </c>
      <c r="O8" s="27" t="str">
        <f t="shared" si="10"/>
        <v/>
      </c>
      <c r="P8" s="3">
        <v>6</v>
      </c>
      <c r="Q8" s="3" t="e">
        <f t="shared" si="16"/>
        <v>#N/A</v>
      </c>
      <c r="R8" s="3" t="e">
        <f t="shared" si="17"/>
        <v>#N/A</v>
      </c>
      <c r="T8" s="46" t="str">
        <f t="shared" si="11"/>
        <v/>
      </c>
      <c r="U8" s="48" t="str">
        <f t="shared" si="12"/>
        <v/>
      </c>
      <c r="V8" s="39">
        <v>2019</v>
      </c>
      <c r="W8" s="85">
        <f t="shared" si="1"/>
        <v>0</v>
      </c>
      <c r="X8" s="11" t="str">
        <f t="shared" si="2"/>
        <v/>
      </c>
      <c r="Y8" s="86" t="str">
        <f t="shared" si="3"/>
        <v/>
      </c>
      <c r="Z8" s="11" t="s">
        <v>35</v>
      </c>
      <c r="AA8" s="62" t="str">
        <f t="shared" si="18"/>
        <v/>
      </c>
    </row>
    <row r="9" spans="1:27">
      <c r="A9" s="39" t="str">
        <f t="shared" si="4"/>
        <v/>
      </c>
      <c r="B9" s="81"/>
      <c r="C9" s="82"/>
      <c r="D9" s="44" t="str">
        <f t="shared" si="5"/>
        <v/>
      </c>
      <c r="E9" s="30" t="str">
        <f t="shared" si="13"/>
        <v>00:00:00</v>
      </c>
      <c r="F9" s="36" t="str">
        <f t="shared" si="6"/>
        <v/>
      </c>
      <c r="G9" s="36">
        <f t="shared" si="7"/>
        <v>0</v>
      </c>
      <c r="H9" s="3" t="str">
        <f t="shared" si="8"/>
        <v/>
      </c>
      <c r="I9" s="3">
        <f t="shared" si="14"/>
        <v>0</v>
      </c>
      <c r="J9" s="34">
        <v>8</v>
      </c>
      <c r="K9" s="35" t="s">
        <v>40</v>
      </c>
      <c r="L9" s="35">
        <f t="shared" si="0"/>
        <v>1</v>
      </c>
      <c r="M9" s="35" t="str">
        <f t="shared" si="15"/>
        <v/>
      </c>
      <c r="N9" s="3" t="str">
        <f t="shared" si="9"/>
        <v/>
      </c>
      <c r="O9" s="27" t="str">
        <f t="shared" si="10"/>
        <v/>
      </c>
      <c r="P9" s="3">
        <v>7</v>
      </c>
      <c r="Q9" s="3" t="e">
        <f t="shared" si="16"/>
        <v>#N/A</v>
      </c>
      <c r="R9" s="3" t="e">
        <f t="shared" si="17"/>
        <v>#N/A</v>
      </c>
      <c r="T9" s="46" t="str">
        <f t="shared" si="11"/>
        <v/>
      </c>
      <c r="U9" s="48" t="str">
        <f t="shared" si="12"/>
        <v/>
      </c>
      <c r="V9" s="39">
        <v>2019</v>
      </c>
      <c r="W9" s="85">
        <f t="shared" si="1"/>
        <v>0</v>
      </c>
      <c r="X9" s="11" t="str">
        <f t="shared" si="2"/>
        <v/>
      </c>
      <c r="Y9" s="86" t="str">
        <f t="shared" si="3"/>
        <v/>
      </c>
      <c r="Z9" s="11" t="s">
        <v>36</v>
      </c>
      <c r="AA9" s="62" t="str">
        <f t="shared" si="18"/>
        <v/>
      </c>
    </row>
    <row r="10" spans="1:27">
      <c r="A10" s="39" t="str">
        <f t="shared" si="4"/>
        <v/>
      </c>
      <c r="B10" s="81"/>
      <c r="C10" s="82"/>
      <c r="D10" s="44" t="str">
        <f t="shared" si="5"/>
        <v/>
      </c>
      <c r="E10" s="30" t="str">
        <f t="shared" si="13"/>
        <v>00:00:00</v>
      </c>
      <c r="F10" s="36" t="str">
        <f t="shared" si="6"/>
        <v/>
      </c>
      <c r="G10" s="36">
        <f t="shared" si="7"/>
        <v>0</v>
      </c>
      <c r="H10" s="3" t="str">
        <f t="shared" si="8"/>
        <v/>
      </c>
      <c r="I10" s="3">
        <f t="shared" si="14"/>
        <v>0</v>
      </c>
      <c r="J10" s="34">
        <v>9</v>
      </c>
      <c r="K10" s="35" t="s">
        <v>41</v>
      </c>
      <c r="L10" s="35">
        <f t="shared" si="0"/>
        <v>1</v>
      </c>
      <c r="M10" s="35" t="str">
        <f>IF(L10=L11,"",L10)</f>
        <v/>
      </c>
      <c r="N10" s="3" t="str">
        <f t="shared" si="9"/>
        <v/>
      </c>
      <c r="O10" s="27" t="str">
        <f t="shared" si="10"/>
        <v/>
      </c>
      <c r="P10" s="3">
        <v>8</v>
      </c>
      <c r="Q10" s="3" t="e">
        <f t="shared" si="16"/>
        <v>#N/A</v>
      </c>
      <c r="R10" s="3" t="e">
        <f t="shared" si="17"/>
        <v>#N/A</v>
      </c>
      <c r="T10" s="46" t="str">
        <f t="shared" si="11"/>
        <v/>
      </c>
      <c r="U10" s="48" t="str">
        <f t="shared" si="12"/>
        <v/>
      </c>
      <c r="V10" s="39">
        <v>2019</v>
      </c>
      <c r="W10" s="85">
        <f t="shared" si="1"/>
        <v>0</v>
      </c>
      <c r="X10" s="11" t="str">
        <f t="shared" si="2"/>
        <v/>
      </c>
      <c r="Y10" s="86" t="str">
        <f t="shared" si="3"/>
        <v/>
      </c>
      <c r="Z10" s="11" t="s">
        <v>37</v>
      </c>
      <c r="AA10" s="62" t="str">
        <f t="shared" si="18"/>
        <v/>
      </c>
    </row>
    <row r="11" spans="1:27">
      <c r="A11" s="39" t="str">
        <f t="shared" si="4"/>
        <v/>
      </c>
      <c r="B11" s="81"/>
      <c r="C11" s="82"/>
      <c r="D11" s="44" t="str">
        <f t="shared" si="5"/>
        <v/>
      </c>
      <c r="E11" s="30" t="str">
        <f t="shared" si="13"/>
        <v>00:00:00</v>
      </c>
      <c r="F11" s="36" t="str">
        <f t="shared" si="6"/>
        <v/>
      </c>
      <c r="G11" s="36">
        <f t="shared" si="7"/>
        <v>0</v>
      </c>
      <c r="H11" s="3" t="str">
        <f t="shared" si="8"/>
        <v/>
      </c>
      <c r="I11" s="3">
        <f t="shared" si="14"/>
        <v>0</v>
      </c>
      <c r="J11" s="34">
        <v>10</v>
      </c>
      <c r="K11" s="35" t="s">
        <v>42</v>
      </c>
      <c r="L11" s="35">
        <f>IF(I10=1,L10+I10,L10)</f>
        <v>1</v>
      </c>
      <c r="M11" s="35" t="str">
        <f t="shared" si="15"/>
        <v/>
      </c>
      <c r="N11" s="3" t="str">
        <f t="shared" si="9"/>
        <v/>
      </c>
      <c r="O11" s="27" t="str">
        <f t="shared" si="10"/>
        <v/>
      </c>
      <c r="P11" s="3">
        <v>9</v>
      </c>
      <c r="Q11" s="3" t="e">
        <f t="shared" si="16"/>
        <v>#N/A</v>
      </c>
      <c r="R11" s="3" t="e">
        <f t="shared" si="17"/>
        <v>#N/A</v>
      </c>
      <c r="T11" s="46" t="str">
        <f t="shared" si="11"/>
        <v/>
      </c>
      <c r="U11" s="48" t="str">
        <f t="shared" si="12"/>
        <v/>
      </c>
      <c r="V11" s="39">
        <v>2019</v>
      </c>
      <c r="W11" s="85">
        <f t="shared" si="1"/>
        <v>0</v>
      </c>
      <c r="X11" s="11" t="str">
        <f t="shared" si="2"/>
        <v/>
      </c>
      <c r="Y11" s="86" t="str">
        <f t="shared" si="3"/>
        <v/>
      </c>
      <c r="Z11" s="11" t="s">
        <v>38</v>
      </c>
      <c r="AA11" s="62" t="str">
        <f t="shared" si="18"/>
        <v/>
      </c>
    </row>
    <row r="12" spans="1:27">
      <c r="A12" s="39" t="str">
        <f t="shared" si="4"/>
        <v/>
      </c>
      <c r="B12" s="81"/>
      <c r="C12" s="82"/>
      <c r="D12" s="44" t="str">
        <f t="shared" si="5"/>
        <v/>
      </c>
      <c r="E12" s="30" t="str">
        <f t="shared" si="13"/>
        <v>00:00:00</v>
      </c>
      <c r="F12" s="36" t="str">
        <f t="shared" si="6"/>
        <v/>
      </c>
      <c r="G12" s="36">
        <f t="shared" si="7"/>
        <v>0</v>
      </c>
      <c r="H12" s="3" t="str">
        <f t="shared" si="8"/>
        <v/>
      </c>
      <c r="I12" s="3">
        <f t="shared" si="14"/>
        <v>0</v>
      </c>
      <c r="J12" s="34">
        <v>11</v>
      </c>
      <c r="K12" s="35" t="s">
        <v>43</v>
      </c>
      <c r="L12" s="35">
        <f t="shared" ref="L12:L75" si="19">IF(I11=1,L11+I11,L11)</f>
        <v>1</v>
      </c>
      <c r="M12" s="35" t="str">
        <f t="shared" si="15"/>
        <v/>
      </c>
      <c r="N12" s="3" t="str">
        <f t="shared" si="9"/>
        <v/>
      </c>
      <c r="O12" s="27" t="str">
        <f t="shared" si="10"/>
        <v/>
      </c>
      <c r="P12" s="3">
        <v>10</v>
      </c>
      <c r="Q12" s="3" t="e">
        <f t="shared" si="16"/>
        <v>#N/A</v>
      </c>
      <c r="R12" s="3" t="e">
        <f t="shared" si="17"/>
        <v>#N/A</v>
      </c>
      <c r="T12" s="46" t="str">
        <f t="shared" si="11"/>
        <v/>
      </c>
      <c r="U12" s="48" t="str">
        <f t="shared" si="12"/>
        <v/>
      </c>
      <c r="V12" s="39">
        <v>2019</v>
      </c>
      <c r="W12" s="85">
        <f t="shared" si="1"/>
        <v>0</v>
      </c>
      <c r="X12" s="11" t="str">
        <f t="shared" si="2"/>
        <v/>
      </c>
      <c r="Y12" s="86" t="str">
        <f t="shared" si="3"/>
        <v/>
      </c>
      <c r="Z12" s="11" t="s">
        <v>39</v>
      </c>
      <c r="AA12" s="62" t="str">
        <f t="shared" si="18"/>
        <v/>
      </c>
    </row>
    <row r="13" spans="1:27">
      <c r="A13" s="39" t="str">
        <f t="shared" si="4"/>
        <v/>
      </c>
      <c r="B13" s="81"/>
      <c r="C13" s="82"/>
      <c r="D13" s="44" t="str">
        <f t="shared" si="5"/>
        <v/>
      </c>
      <c r="E13" s="30" t="str">
        <f t="shared" si="13"/>
        <v>00:00:00</v>
      </c>
      <c r="F13" s="36" t="str">
        <f t="shared" si="6"/>
        <v/>
      </c>
      <c r="G13" s="36">
        <f t="shared" si="7"/>
        <v>0</v>
      </c>
      <c r="H13" s="3" t="str">
        <f t="shared" si="8"/>
        <v/>
      </c>
      <c r="I13" s="3">
        <f t="shared" si="14"/>
        <v>0</v>
      </c>
      <c r="J13" s="34">
        <v>12</v>
      </c>
      <c r="K13" s="35" t="s">
        <v>44</v>
      </c>
      <c r="L13" s="35">
        <f t="shared" si="19"/>
        <v>1</v>
      </c>
      <c r="M13" s="35" t="str">
        <f t="shared" si="15"/>
        <v/>
      </c>
      <c r="N13" s="3" t="str">
        <f t="shared" si="9"/>
        <v/>
      </c>
      <c r="O13" s="27" t="str">
        <f t="shared" si="10"/>
        <v/>
      </c>
      <c r="P13" s="3">
        <v>11</v>
      </c>
      <c r="Q13" s="3" t="e">
        <f t="shared" si="16"/>
        <v>#N/A</v>
      </c>
      <c r="R13" s="3" t="e">
        <f t="shared" si="17"/>
        <v>#N/A</v>
      </c>
      <c r="T13" s="46" t="str">
        <f t="shared" si="11"/>
        <v/>
      </c>
      <c r="U13" s="48" t="str">
        <f t="shared" si="12"/>
        <v/>
      </c>
      <c r="V13" s="39">
        <v>2019</v>
      </c>
      <c r="W13" s="85">
        <f t="shared" si="1"/>
        <v>0</v>
      </c>
      <c r="X13" s="11" t="str">
        <f t="shared" si="2"/>
        <v/>
      </c>
      <c r="Y13" s="86" t="str">
        <f t="shared" si="3"/>
        <v/>
      </c>
      <c r="Z13" s="11" t="s">
        <v>40</v>
      </c>
      <c r="AA13" s="62" t="str">
        <f t="shared" si="18"/>
        <v/>
      </c>
    </row>
    <row r="14" spans="1:27">
      <c r="A14" s="39" t="str">
        <f t="shared" si="4"/>
        <v/>
      </c>
      <c r="B14" s="81"/>
      <c r="C14" s="82"/>
      <c r="D14" s="44" t="str">
        <f t="shared" si="5"/>
        <v/>
      </c>
      <c r="E14" s="30" t="str">
        <f t="shared" si="13"/>
        <v>00:00:00</v>
      </c>
      <c r="F14" s="36" t="str">
        <f t="shared" si="6"/>
        <v/>
      </c>
      <c r="G14" s="36">
        <f t="shared" si="7"/>
        <v>0</v>
      </c>
      <c r="H14" s="3" t="str">
        <f t="shared" si="8"/>
        <v/>
      </c>
      <c r="I14" s="3">
        <f t="shared" si="14"/>
        <v>0</v>
      </c>
      <c r="L14" s="35">
        <f t="shared" si="19"/>
        <v>1</v>
      </c>
      <c r="M14" s="35" t="str">
        <f t="shared" si="15"/>
        <v/>
      </c>
      <c r="N14" s="3" t="str">
        <f t="shared" si="9"/>
        <v/>
      </c>
      <c r="O14" s="27" t="str">
        <f t="shared" si="10"/>
        <v/>
      </c>
      <c r="P14" s="3">
        <v>12</v>
      </c>
      <c r="Q14" s="3" t="e">
        <f t="shared" si="16"/>
        <v>#N/A</v>
      </c>
      <c r="R14" s="3" t="e">
        <f t="shared" si="17"/>
        <v>#N/A</v>
      </c>
      <c r="T14" s="46" t="str">
        <f t="shared" si="11"/>
        <v/>
      </c>
      <c r="U14" s="48" t="str">
        <f t="shared" si="12"/>
        <v/>
      </c>
      <c r="V14" s="39">
        <v>2019</v>
      </c>
      <c r="W14" s="85">
        <f t="shared" si="1"/>
        <v>0</v>
      </c>
      <c r="X14" s="11" t="str">
        <f t="shared" si="2"/>
        <v/>
      </c>
      <c r="Y14" s="86" t="str">
        <f t="shared" si="3"/>
        <v/>
      </c>
      <c r="Z14" s="11" t="s">
        <v>41</v>
      </c>
      <c r="AA14" s="62" t="str">
        <f t="shared" si="18"/>
        <v/>
      </c>
    </row>
    <row r="15" spans="1:27">
      <c r="A15" s="39" t="str">
        <f t="shared" si="4"/>
        <v/>
      </c>
      <c r="B15" s="81"/>
      <c r="C15" s="82"/>
      <c r="D15" s="44" t="str">
        <f t="shared" si="5"/>
        <v/>
      </c>
      <c r="E15" s="30" t="str">
        <f t="shared" si="13"/>
        <v>00:00:00</v>
      </c>
      <c r="F15" s="36" t="str">
        <f t="shared" si="6"/>
        <v/>
      </c>
      <c r="G15" s="36">
        <f t="shared" si="7"/>
        <v>0</v>
      </c>
      <c r="H15" s="3" t="str">
        <f t="shared" si="8"/>
        <v/>
      </c>
      <c r="I15" s="3">
        <f t="shared" si="14"/>
        <v>0</v>
      </c>
      <c r="L15" s="35">
        <f t="shared" si="19"/>
        <v>1</v>
      </c>
      <c r="M15" s="35" t="str">
        <f t="shared" si="15"/>
        <v/>
      </c>
      <c r="N15" s="3" t="str">
        <f t="shared" si="9"/>
        <v/>
      </c>
      <c r="O15" s="27" t="str">
        <f t="shared" si="10"/>
        <v/>
      </c>
      <c r="P15" s="3">
        <v>13</v>
      </c>
      <c r="Q15" s="3" t="e">
        <f t="shared" si="16"/>
        <v>#N/A</v>
      </c>
      <c r="R15" s="3" t="e">
        <f t="shared" si="17"/>
        <v>#N/A</v>
      </c>
      <c r="T15" s="46" t="str">
        <f t="shared" si="11"/>
        <v/>
      </c>
      <c r="U15" s="48" t="str">
        <f t="shared" si="12"/>
        <v/>
      </c>
      <c r="W15" s="56">
        <f t="shared" si="1"/>
        <v>0</v>
      </c>
      <c r="X15" s="57" t="str">
        <f t="shared" si="2"/>
        <v/>
      </c>
      <c r="Y15" s="58" t="str">
        <f t="shared" si="3"/>
        <v/>
      </c>
      <c r="AA15" s="62" t="str">
        <f t="shared" si="18"/>
        <v/>
      </c>
    </row>
    <row r="16" spans="1:27">
      <c r="A16" s="39" t="str">
        <f t="shared" si="4"/>
        <v/>
      </c>
      <c r="B16" s="81"/>
      <c r="C16" s="82"/>
      <c r="D16" s="44" t="str">
        <f t="shared" si="5"/>
        <v/>
      </c>
      <c r="E16" s="30" t="str">
        <f t="shared" si="13"/>
        <v>00:00:00</v>
      </c>
      <c r="F16" s="36" t="str">
        <f t="shared" si="6"/>
        <v/>
      </c>
      <c r="G16" s="36">
        <f t="shared" si="7"/>
        <v>0</v>
      </c>
      <c r="H16" s="3" t="str">
        <f t="shared" si="8"/>
        <v/>
      </c>
      <c r="I16" s="3">
        <f t="shared" si="14"/>
        <v>0</v>
      </c>
      <c r="L16" s="35">
        <f t="shared" si="19"/>
        <v>1</v>
      </c>
      <c r="M16" s="35" t="str">
        <f t="shared" si="15"/>
        <v/>
      </c>
      <c r="N16" s="3" t="str">
        <f t="shared" si="9"/>
        <v/>
      </c>
      <c r="O16" s="27" t="str">
        <f t="shared" si="10"/>
        <v/>
      </c>
      <c r="P16" s="3">
        <v>14</v>
      </c>
      <c r="Q16" s="3" t="e">
        <f t="shared" si="16"/>
        <v>#N/A</v>
      </c>
      <c r="R16" s="3" t="e">
        <f t="shared" si="17"/>
        <v>#N/A</v>
      </c>
      <c r="T16" s="46" t="str">
        <f t="shared" si="11"/>
        <v/>
      </c>
      <c r="U16" s="48" t="str">
        <f t="shared" si="12"/>
        <v/>
      </c>
      <c r="W16" s="56">
        <f t="shared" si="1"/>
        <v>0</v>
      </c>
      <c r="X16" s="57" t="str">
        <f t="shared" si="2"/>
        <v/>
      </c>
      <c r="Y16" s="58" t="str">
        <f t="shared" si="3"/>
        <v/>
      </c>
      <c r="AA16" s="62" t="str">
        <f t="shared" si="18"/>
        <v/>
      </c>
    </row>
    <row r="17" spans="1:27">
      <c r="A17" s="39" t="str">
        <f t="shared" si="4"/>
        <v/>
      </c>
      <c r="B17" s="81"/>
      <c r="C17" s="82"/>
      <c r="D17" s="44" t="str">
        <f t="shared" si="5"/>
        <v/>
      </c>
      <c r="E17" s="30" t="str">
        <f t="shared" si="13"/>
        <v>00:00:00</v>
      </c>
      <c r="F17" s="36" t="str">
        <f t="shared" si="6"/>
        <v/>
      </c>
      <c r="G17" s="36">
        <f t="shared" si="7"/>
        <v>0</v>
      </c>
      <c r="H17" s="3" t="str">
        <f t="shared" si="8"/>
        <v/>
      </c>
      <c r="I17" s="3">
        <f t="shared" si="14"/>
        <v>0</v>
      </c>
      <c r="L17" s="35">
        <f t="shared" si="19"/>
        <v>1</v>
      </c>
      <c r="M17" s="35" t="str">
        <f t="shared" si="15"/>
        <v/>
      </c>
      <c r="N17" s="3" t="str">
        <f t="shared" si="9"/>
        <v/>
      </c>
      <c r="O17" s="27" t="str">
        <f t="shared" si="10"/>
        <v/>
      </c>
      <c r="P17" s="3">
        <v>15</v>
      </c>
      <c r="Q17" s="3" t="e">
        <f t="shared" si="16"/>
        <v>#N/A</v>
      </c>
      <c r="R17" s="3" t="e">
        <f t="shared" si="17"/>
        <v>#N/A</v>
      </c>
      <c r="T17" s="46" t="str">
        <f t="shared" si="11"/>
        <v/>
      </c>
      <c r="U17" s="48" t="str">
        <f t="shared" si="12"/>
        <v/>
      </c>
      <c r="W17" s="56">
        <f t="shared" si="1"/>
        <v>0</v>
      </c>
      <c r="X17" s="57" t="str">
        <f t="shared" si="2"/>
        <v/>
      </c>
      <c r="Y17" s="58" t="str">
        <f t="shared" si="3"/>
        <v/>
      </c>
      <c r="AA17" s="62" t="str">
        <f t="shared" si="18"/>
        <v/>
      </c>
    </row>
    <row r="18" spans="1:27">
      <c r="A18" s="39" t="str">
        <f t="shared" si="4"/>
        <v/>
      </c>
      <c r="B18" s="81"/>
      <c r="C18" s="82"/>
      <c r="D18" s="44" t="str">
        <f t="shared" si="5"/>
        <v/>
      </c>
      <c r="E18" s="30" t="str">
        <f t="shared" si="13"/>
        <v>00:00:00</v>
      </c>
      <c r="F18" s="36" t="str">
        <f t="shared" si="6"/>
        <v/>
      </c>
      <c r="G18" s="36">
        <f t="shared" si="7"/>
        <v>0</v>
      </c>
      <c r="H18" s="3" t="str">
        <f t="shared" si="8"/>
        <v/>
      </c>
      <c r="I18" s="3">
        <f t="shared" si="14"/>
        <v>0</v>
      </c>
      <c r="L18" s="35">
        <f t="shared" si="19"/>
        <v>1</v>
      </c>
      <c r="M18" s="35" t="str">
        <f t="shared" si="15"/>
        <v/>
      </c>
      <c r="N18" s="3" t="str">
        <f t="shared" si="9"/>
        <v/>
      </c>
      <c r="O18" s="27" t="str">
        <f t="shared" si="10"/>
        <v/>
      </c>
      <c r="P18" s="3">
        <v>16</v>
      </c>
      <c r="Q18" s="3" t="e">
        <f t="shared" si="16"/>
        <v>#N/A</v>
      </c>
      <c r="R18" s="3" t="e">
        <f t="shared" si="17"/>
        <v>#N/A</v>
      </c>
      <c r="T18" s="46" t="str">
        <f t="shared" si="11"/>
        <v/>
      </c>
      <c r="U18" s="48" t="str">
        <f t="shared" si="12"/>
        <v/>
      </c>
      <c r="W18" s="56">
        <f t="shared" si="1"/>
        <v>0</v>
      </c>
      <c r="X18" s="57" t="str">
        <f t="shared" si="2"/>
        <v/>
      </c>
      <c r="Y18" s="58" t="str">
        <f t="shared" si="3"/>
        <v/>
      </c>
      <c r="AA18" s="62" t="str">
        <f t="shared" si="18"/>
        <v/>
      </c>
    </row>
    <row r="19" spans="1:27">
      <c r="A19" s="39" t="str">
        <f t="shared" si="4"/>
        <v/>
      </c>
      <c r="B19" s="81"/>
      <c r="C19" s="82"/>
      <c r="D19" s="44" t="str">
        <f t="shared" si="5"/>
        <v/>
      </c>
      <c r="E19" s="30" t="str">
        <f t="shared" si="13"/>
        <v>00:00:00</v>
      </c>
      <c r="F19" s="36" t="str">
        <f t="shared" si="6"/>
        <v/>
      </c>
      <c r="G19" s="36">
        <f t="shared" si="7"/>
        <v>0</v>
      </c>
      <c r="H19" s="3" t="str">
        <f t="shared" si="8"/>
        <v/>
      </c>
      <c r="I19" s="3">
        <f t="shared" si="14"/>
        <v>0</v>
      </c>
      <c r="L19" s="35">
        <f t="shared" si="19"/>
        <v>1</v>
      </c>
      <c r="M19" s="35" t="str">
        <f t="shared" si="15"/>
        <v/>
      </c>
      <c r="N19" s="3" t="str">
        <f t="shared" si="9"/>
        <v/>
      </c>
      <c r="O19" s="27" t="str">
        <f t="shared" si="10"/>
        <v/>
      </c>
      <c r="P19" s="3">
        <v>17</v>
      </c>
      <c r="Q19" s="3" t="e">
        <f t="shared" si="16"/>
        <v>#N/A</v>
      </c>
      <c r="R19" s="3" t="e">
        <f t="shared" si="17"/>
        <v>#N/A</v>
      </c>
      <c r="T19" s="46" t="str">
        <f t="shared" si="11"/>
        <v/>
      </c>
      <c r="U19" s="48" t="str">
        <f t="shared" si="12"/>
        <v/>
      </c>
      <c r="W19" s="56">
        <f t="shared" si="1"/>
        <v>0</v>
      </c>
      <c r="X19" s="57" t="str">
        <f t="shared" si="2"/>
        <v/>
      </c>
      <c r="Y19" s="58" t="str">
        <f t="shared" si="3"/>
        <v/>
      </c>
      <c r="AA19" s="62" t="str">
        <f t="shared" si="18"/>
        <v/>
      </c>
    </row>
    <row r="20" spans="1:27">
      <c r="A20" s="39" t="str">
        <f t="shared" si="4"/>
        <v/>
      </c>
      <c r="B20" s="81"/>
      <c r="C20" s="82"/>
      <c r="D20" s="44" t="str">
        <f t="shared" si="5"/>
        <v/>
      </c>
      <c r="E20" s="30" t="str">
        <f t="shared" si="13"/>
        <v>00:00:00</v>
      </c>
      <c r="F20" s="36" t="str">
        <f t="shared" si="6"/>
        <v/>
      </c>
      <c r="G20" s="36">
        <f t="shared" si="7"/>
        <v>0</v>
      </c>
      <c r="H20" s="3" t="str">
        <f t="shared" si="8"/>
        <v/>
      </c>
      <c r="I20" s="3">
        <f t="shared" si="14"/>
        <v>0</v>
      </c>
      <c r="L20" s="35">
        <f t="shared" si="19"/>
        <v>1</v>
      </c>
      <c r="M20" s="35" t="str">
        <f t="shared" si="15"/>
        <v/>
      </c>
      <c r="N20" s="3" t="str">
        <f t="shared" si="9"/>
        <v/>
      </c>
      <c r="O20" s="27" t="str">
        <f t="shared" si="10"/>
        <v/>
      </c>
      <c r="P20" s="3">
        <v>18</v>
      </c>
      <c r="Q20" s="3" t="e">
        <f t="shared" si="16"/>
        <v>#N/A</v>
      </c>
      <c r="R20" s="3" t="e">
        <f t="shared" si="17"/>
        <v>#N/A</v>
      </c>
      <c r="T20" s="46" t="str">
        <f t="shared" si="11"/>
        <v/>
      </c>
      <c r="U20" s="48" t="str">
        <f t="shared" si="12"/>
        <v/>
      </c>
      <c r="W20" s="56">
        <f t="shared" si="1"/>
        <v>0</v>
      </c>
      <c r="X20" s="57" t="str">
        <f t="shared" si="2"/>
        <v/>
      </c>
      <c r="Y20" s="58" t="str">
        <f t="shared" si="3"/>
        <v/>
      </c>
      <c r="AA20" s="62" t="str">
        <f t="shared" si="18"/>
        <v/>
      </c>
    </row>
    <row r="21" spans="1:27">
      <c r="A21" s="39" t="str">
        <f t="shared" si="4"/>
        <v/>
      </c>
      <c r="B21" s="81"/>
      <c r="C21" s="82"/>
      <c r="D21" s="44" t="str">
        <f t="shared" si="5"/>
        <v/>
      </c>
      <c r="E21" s="30" t="str">
        <f t="shared" si="13"/>
        <v>00:00:00</v>
      </c>
      <c r="F21" s="36" t="str">
        <f t="shared" si="6"/>
        <v/>
      </c>
      <c r="G21" s="36">
        <f t="shared" si="7"/>
        <v>0</v>
      </c>
      <c r="H21" s="3" t="str">
        <f t="shared" si="8"/>
        <v/>
      </c>
      <c r="I21" s="3">
        <f t="shared" si="14"/>
        <v>0</v>
      </c>
      <c r="L21" s="35">
        <f t="shared" si="19"/>
        <v>1</v>
      </c>
      <c r="M21" s="35" t="str">
        <f t="shared" si="15"/>
        <v/>
      </c>
      <c r="N21" s="3" t="str">
        <f t="shared" si="9"/>
        <v/>
      </c>
      <c r="O21" s="27" t="str">
        <f t="shared" si="10"/>
        <v/>
      </c>
      <c r="P21" s="3">
        <v>19</v>
      </c>
      <c r="Q21" s="3" t="e">
        <f t="shared" si="16"/>
        <v>#N/A</v>
      </c>
      <c r="R21" s="3" t="e">
        <f t="shared" si="17"/>
        <v>#N/A</v>
      </c>
      <c r="T21" s="46" t="str">
        <f t="shared" si="11"/>
        <v/>
      </c>
      <c r="U21" s="48" t="str">
        <f t="shared" si="12"/>
        <v/>
      </c>
      <c r="W21" s="56">
        <f t="shared" si="1"/>
        <v>0</v>
      </c>
      <c r="X21" s="57" t="str">
        <f t="shared" si="2"/>
        <v/>
      </c>
      <c r="Y21" s="58" t="str">
        <f t="shared" si="3"/>
        <v/>
      </c>
      <c r="AA21" s="62" t="str">
        <f t="shared" si="18"/>
        <v/>
      </c>
    </row>
    <row r="22" spans="1:27">
      <c r="A22" s="39" t="str">
        <f t="shared" si="4"/>
        <v/>
      </c>
      <c r="B22" s="81"/>
      <c r="C22" s="82"/>
      <c r="D22" s="44" t="str">
        <f t="shared" si="5"/>
        <v/>
      </c>
      <c r="E22" s="30" t="str">
        <f t="shared" si="13"/>
        <v>00:00:00</v>
      </c>
      <c r="F22" s="36" t="str">
        <f t="shared" si="6"/>
        <v/>
      </c>
      <c r="G22" s="36">
        <f t="shared" si="7"/>
        <v>0</v>
      </c>
      <c r="H22" s="3" t="str">
        <f t="shared" si="8"/>
        <v/>
      </c>
      <c r="I22" s="3">
        <f t="shared" si="14"/>
        <v>0</v>
      </c>
      <c r="L22" s="35">
        <f t="shared" si="19"/>
        <v>1</v>
      </c>
      <c r="M22" s="35" t="str">
        <f t="shared" si="15"/>
        <v/>
      </c>
      <c r="N22" s="3" t="str">
        <f t="shared" si="9"/>
        <v/>
      </c>
      <c r="O22" s="27" t="str">
        <f t="shared" si="10"/>
        <v/>
      </c>
      <c r="P22" s="3">
        <v>20</v>
      </c>
      <c r="Q22" s="3" t="e">
        <f t="shared" si="16"/>
        <v>#N/A</v>
      </c>
      <c r="R22" s="3" t="e">
        <f t="shared" si="17"/>
        <v>#N/A</v>
      </c>
      <c r="T22" s="46" t="str">
        <f t="shared" si="11"/>
        <v/>
      </c>
      <c r="U22" s="48" t="str">
        <f t="shared" si="12"/>
        <v/>
      </c>
      <c r="W22" s="56">
        <f t="shared" si="1"/>
        <v>0</v>
      </c>
      <c r="X22" s="57" t="str">
        <f t="shared" si="2"/>
        <v/>
      </c>
      <c r="Y22" s="58" t="str">
        <f t="shared" si="3"/>
        <v/>
      </c>
      <c r="AA22" s="62" t="str">
        <f t="shared" si="18"/>
        <v/>
      </c>
    </row>
    <row r="23" spans="1:27">
      <c r="A23" s="39" t="str">
        <f t="shared" si="4"/>
        <v/>
      </c>
      <c r="B23" s="81"/>
      <c r="C23" s="82"/>
      <c r="D23" s="44" t="str">
        <f t="shared" si="5"/>
        <v/>
      </c>
      <c r="E23" s="30" t="str">
        <f t="shared" si="13"/>
        <v>00:00:00</v>
      </c>
      <c r="F23" s="36" t="str">
        <f t="shared" si="6"/>
        <v/>
      </c>
      <c r="G23" s="36">
        <f t="shared" si="7"/>
        <v>0</v>
      </c>
      <c r="H23" s="3" t="str">
        <f t="shared" si="8"/>
        <v/>
      </c>
      <c r="I23" s="3">
        <f t="shared" si="14"/>
        <v>0</v>
      </c>
      <c r="L23" s="35">
        <f t="shared" si="19"/>
        <v>1</v>
      </c>
      <c r="M23" s="35" t="str">
        <f t="shared" si="15"/>
        <v/>
      </c>
      <c r="N23" s="3" t="str">
        <f t="shared" si="9"/>
        <v/>
      </c>
      <c r="O23" s="27" t="str">
        <f t="shared" si="10"/>
        <v/>
      </c>
      <c r="P23" s="3">
        <v>21</v>
      </c>
      <c r="Q23" s="3" t="e">
        <f t="shared" si="16"/>
        <v>#N/A</v>
      </c>
      <c r="R23" s="3" t="e">
        <f t="shared" si="17"/>
        <v>#N/A</v>
      </c>
      <c r="T23" s="46" t="str">
        <f t="shared" si="11"/>
        <v/>
      </c>
      <c r="U23" s="48" t="str">
        <f t="shared" si="12"/>
        <v/>
      </c>
      <c r="W23" s="56">
        <f t="shared" si="1"/>
        <v>0</v>
      </c>
      <c r="X23" s="57" t="str">
        <f t="shared" si="2"/>
        <v/>
      </c>
      <c r="Y23" s="58" t="str">
        <f t="shared" si="3"/>
        <v/>
      </c>
      <c r="AA23" s="62" t="str">
        <f t="shared" si="18"/>
        <v/>
      </c>
    </row>
    <row r="24" spans="1:27">
      <c r="A24" s="39" t="str">
        <f t="shared" si="4"/>
        <v/>
      </c>
      <c r="B24" s="81"/>
      <c r="C24" s="82"/>
      <c r="D24" s="44" t="str">
        <f t="shared" si="5"/>
        <v/>
      </c>
      <c r="E24" s="30" t="str">
        <f t="shared" si="13"/>
        <v>00:00:00</v>
      </c>
      <c r="F24" s="36" t="str">
        <f t="shared" si="6"/>
        <v/>
      </c>
      <c r="G24" s="36">
        <f t="shared" si="7"/>
        <v>0</v>
      </c>
      <c r="H24" s="3" t="str">
        <f t="shared" si="8"/>
        <v/>
      </c>
      <c r="I24" s="3">
        <f t="shared" si="14"/>
        <v>0</v>
      </c>
      <c r="L24" s="35">
        <f t="shared" si="19"/>
        <v>1</v>
      </c>
      <c r="M24" s="35" t="str">
        <f t="shared" si="15"/>
        <v/>
      </c>
      <c r="N24" s="3" t="str">
        <f t="shared" si="9"/>
        <v/>
      </c>
      <c r="O24" s="27" t="str">
        <f t="shared" si="10"/>
        <v/>
      </c>
      <c r="P24" s="3">
        <v>22</v>
      </c>
      <c r="Q24" s="3" t="e">
        <f t="shared" si="16"/>
        <v>#N/A</v>
      </c>
      <c r="R24" s="3" t="e">
        <f t="shared" si="17"/>
        <v>#N/A</v>
      </c>
      <c r="T24" s="46" t="str">
        <f t="shared" si="11"/>
        <v/>
      </c>
      <c r="U24" s="48" t="str">
        <f t="shared" si="12"/>
        <v/>
      </c>
      <c r="W24" s="56">
        <f t="shared" si="1"/>
        <v>0</v>
      </c>
      <c r="X24" s="57" t="str">
        <f t="shared" si="2"/>
        <v/>
      </c>
      <c r="Y24" s="58" t="str">
        <f t="shared" si="3"/>
        <v/>
      </c>
      <c r="AA24" s="62" t="str">
        <f t="shared" si="18"/>
        <v/>
      </c>
    </row>
    <row r="25" spans="1:27">
      <c r="A25" s="39" t="str">
        <f t="shared" si="4"/>
        <v/>
      </c>
      <c r="B25" s="81"/>
      <c r="C25" s="82"/>
      <c r="D25" s="44" t="str">
        <f t="shared" si="5"/>
        <v/>
      </c>
      <c r="E25" s="30" t="str">
        <f t="shared" si="13"/>
        <v>00:00:00</v>
      </c>
      <c r="F25" s="36" t="str">
        <f t="shared" si="6"/>
        <v/>
      </c>
      <c r="G25" s="36">
        <f t="shared" si="7"/>
        <v>0</v>
      </c>
      <c r="H25" s="3" t="str">
        <f t="shared" si="8"/>
        <v/>
      </c>
      <c r="I25" s="3">
        <f t="shared" si="14"/>
        <v>0</v>
      </c>
      <c r="L25" s="35">
        <f t="shared" si="19"/>
        <v>1</v>
      </c>
      <c r="M25" s="35" t="str">
        <f t="shared" si="15"/>
        <v/>
      </c>
      <c r="N25" s="3" t="str">
        <f t="shared" si="9"/>
        <v/>
      </c>
      <c r="O25" s="27" t="str">
        <f t="shared" si="10"/>
        <v/>
      </c>
      <c r="P25" s="3">
        <v>23</v>
      </c>
      <c r="Q25" s="3" t="e">
        <f t="shared" si="16"/>
        <v>#N/A</v>
      </c>
      <c r="R25" s="3" t="e">
        <f t="shared" si="17"/>
        <v>#N/A</v>
      </c>
      <c r="T25" s="46" t="str">
        <f t="shared" si="11"/>
        <v/>
      </c>
      <c r="U25" s="48" t="str">
        <f t="shared" si="12"/>
        <v/>
      </c>
      <c r="W25" s="56">
        <f t="shared" si="1"/>
        <v>0</v>
      </c>
      <c r="X25" s="57" t="str">
        <f t="shared" si="2"/>
        <v/>
      </c>
      <c r="Y25" s="58" t="str">
        <f t="shared" si="3"/>
        <v/>
      </c>
      <c r="AA25" s="62" t="str">
        <f t="shared" si="18"/>
        <v/>
      </c>
    </row>
    <row r="26" spans="1:27">
      <c r="A26" s="39" t="str">
        <f t="shared" si="4"/>
        <v/>
      </c>
      <c r="B26" s="81"/>
      <c r="C26" s="82"/>
      <c r="D26" s="44" t="str">
        <f t="shared" si="5"/>
        <v/>
      </c>
      <c r="E26" s="30" t="str">
        <f t="shared" si="13"/>
        <v>00:00:00</v>
      </c>
      <c r="F26" s="36" t="str">
        <f t="shared" si="6"/>
        <v/>
      </c>
      <c r="G26" s="36">
        <f t="shared" si="7"/>
        <v>0</v>
      </c>
      <c r="H26" s="3" t="str">
        <f t="shared" si="8"/>
        <v/>
      </c>
      <c r="I26" s="3">
        <f t="shared" si="14"/>
        <v>0</v>
      </c>
      <c r="L26" s="35">
        <f t="shared" si="19"/>
        <v>1</v>
      </c>
      <c r="M26" s="35" t="str">
        <f t="shared" si="15"/>
        <v/>
      </c>
      <c r="N26" s="3" t="str">
        <f t="shared" si="9"/>
        <v/>
      </c>
      <c r="O26" s="27" t="str">
        <f t="shared" si="10"/>
        <v/>
      </c>
      <c r="P26" s="3">
        <v>24</v>
      </c>
      <c r="Q26" s="3" t="e">
        <f t="shared" si="16"/>
        <v>#N/A</v>
      </c>
      <c r="R26" s="3" t="e">
        <f t="shared" si="17"/>
        <v>#N/A</v>
      </c>
      <c r="T26" s="46" t="str">
        <f t="shared" si="11"/>
        <v/>
      </c>
      <c r="U26" s="48" t="str">
        <f t="shared" si="12"/>
        <v/>
      </c>
      <c r="W26" s="56">
        <f t="shared" si="1"/>
        <v>0</v>
      </c>
      <c r="X26" s="57" t="str">
        <f t="shared" si="2"/>
        <v/>
      </c>
      <c r="Y26" s="58" t="str">
        <f t="shared" si="3"/>
        <v/>
      </c>
      <c r="AA26" s="62" t="str">
        <f t="shared" si="18"/>
        <v/>
      </c>
    </row>
    <row r="27" spans="1:27">
      <c r="A27" s="39" t="str">
        <f t="shared" si="4"/>
        <v/>
      </c>
      <c r="B27" s="81"/>
      <c r="C27" s="82"/>
      <c r="D27" s="44" t="str">
        <f t="shared" si="5"/>
        <v/>
      </c>
      <c r="E27" s="30" t="str">
        <f t="shared" si="13"/>
        <v>00:00:00</v>
      </c>
      <c r="F27" s="36" t="str">
        <f t="shared" si="6"/>
        <v/>
      </c>
      <c r="G27" s="36">
        <f t="shared" si="7"/>
        <v>0</v>
      </c>
      <c r="H27" s="3" t="str">
        <f t="shared" si="8"/>
        <v/>
      </c>
      <c r="I27" s="3">
        <f t="shared" si="14"/>
        <v>0</v>
      </c>
      <c r="L27" s="35">
        <f t="shared" si="19"/>
        <v>1</v>
      </c>
      <c r="M27" s="35" t="str">
        <f t="shared" si="15"/>
        <v/>
      </c>
      <c r="N27" s="3" t="str">
        <f t="shared" si="9"/>
        <v/>
      </c>
      <c r="O27" s="27" t="str">
        <f t="shared" si="10"/>
        <v/>
      </c>
      <c r="P27" s="3">
        <v>25</v>
      </c>
      <c r="Q27" s="3" t="e">
        <f t="shared" si="16"/>
        <v>#N/A</v>
      </c>
      <c r="R27" s="3" t="e">
        <f t="shared" si="17"/>
        <v>#N/A</v>
      </c>
      <c r="T27" s="46" t="str">
        <f t="shared" si="11"/>
        <v/>
      </c>
      <c r="U27" s="48" t="str">
        <f t="shared" si="12"/>
        <v/>
      </c>
      <c r="W27" s="56">
        <f t="shared" si="1"/>
        <v>0</v>
      </c>
      <c r="X27" s="57" t="str">
        <f t="shared" si="2"/>
        <v/>
      </c>
      <c r="Y27" s="58" t="str">
        <f t="shared" si="3"/>
        <v/>
      </c>
      <c r="AA27" s="62" t="str">
        <f t="shared" si="18"/>
        <v/>
      </c>
    </row>
    <row r="28" spans="1:27">
      <c r="A28" s="39" t="str">
        <f t="shared" si="4"/>
        <v/>
      </c>
      <c r="B28" s="81"/>
      <c r="C28" s="82"/>
      <c r="D28" s="44" t="str">
        <f t="shared" si="5"/>
        <v/>
      </c>
      <c r="E28" s="30" t="str">
        <f t="shared" si="13"/>
        <v>00:00:00</v>
      </c>
      <c r="F28" s="36" t="str">
        <f t="shared" si="6"/>
        <v/>
      </c>
      <c r="G28" s="36">
        <f t="shared" si="7"/>
        <v>0</v>
      </c>
      <c r="H28" s="3" t="str">
        <f t="shared" si="8"/>
        <v/>
      </c>
      <c r="I28" s="3">
        <f t="shared" si="14"/>
        <v>0</v>
      </c>
      <c r="L28" s="35">
        <f t="shared" si="19"/>
        <v>1</v>
      </c>
      <c r="M28" s="35" t="str">
        <f t="shared" si="15"/>
        <v/>
      </c>
      <c r="N28" s="3" t="str">
        <f t="shared" si="9"/>
        <v/>
      </c>
      <c r="O28" s="27" t="str">
        <f t="shared" si="10"/>
        <v/>
      </c>
      <c r="P28" s="3">
        <v>26</v>
      </c>
      <c r="Q28" s="3" t="e">
        <f t="shared" si="16"/>
        <v>#N/A</v>
      </c>
      <c r="R28" s="3" t="e">
        <f t="shared" si="17"/>
        <v>#N/A</v>
      </c>
      <c r="T28" s="46" t="str">
        <f t="shared" si="11"/>
        <v/>
      </c>
      <c r="U28" s="48" t="str">
        <f t="shared" si="12"/>
        <v/>
      </c>
      <c r="W28" s="56">
        <f t="shared" si="1"/>
        <v>0</v>
      </c>
      <c r="X28" s="57" t="str">
        <f t="shared" si="2"/>
        <v/>
      </c>
      <c r="Y28" s="58" t="str">
        <f t="shared" si="3"/>
        <v/>
      </c>
      <c r="AA28" s="62" t="str">
        <f t="shared" si="18"/>
        <v/>
      </c>
    </row>
    <row r="29" spans="1:27">
      <c r="A29" s="39" t="str">
        <f t="shared" si="4"/>
        <v/>
      </c>
      <c r="B29" s="81"/>
      <c r="C29" s="82"/>
      <c r="D29" s="44" t="str">
        <f t="shared" si="5"/>
        <v/>
      </c>
      <c r="E29" s="30" t="str">
        <f t="shared" si="13"/>
        <v>00:00:00</v>
      </c>
      <c r="F29" s="36" t="str">
        <f t="shared" si="6"/>
        <v/>
      </c>
      <c r="G29" s="36">
        <f t="shared" si="7"/>
        <v>0</v>
      </c>
      <c r="H29" s="3" t="str">
        <f t="shared" si="8"/>
        <v/>
      </c>
      <c r="I29" s="3">
        <f t="shared" si="14"/>
        <v>0</v>
      </c>
      <c r="L29" s="35">
        <f t="shared" si="19"/>
        <v>1</v>
      </c>
      <c r="M29" s="35" t="str">
        <f t="shared" si="15"/>
        <v/>
      </c>
      <c r="N29" s="3" t="str">
        <f t="shared" si="9"/>
        <v/>
      </c>
      <c r="O29" s="27" t="str">
        <f t="shared" si="10"/>
        <v/>
      </c>
      <c r="P29" s="3">
        <v>27</v>
      </c>
      <c r="Q29" s="3" t="e">
        <f t="shared" si="16"/>
        <v>#N/A</v>
      </c>
      <c r="R29" s="3" t="e">
        <f t="shared" si="17"/>
        <v>#N/A</v>
      </c>
      <c r="T29" s="46" t="str">
        <f t="shared" si="11"/>
        <v/>
      </c>
      <c r="U29" s="48" t="str">
        <f t="shared" si="12"/>
        <v/>
      </c>
      <c r="W29" s="56">
        <f t="shared" si="1"/>
        <v>0</v>
      </c>
      <c r="X29" s="57" t="str">
        <f t="shared" si="2"/>
        <v/>
      </c>
      <c r="Y29" s="58" t="str">
        <f t="shared" si="3"/>
        <v/>
      </c>
      <c r="AA29" s="62" t="str">
        <f t="shared" si="18"/>
        <v/>
      </c>
    </row>
    <row r="30" spans="1:27">
      <c r="A30" s="39" t="str">
        <f t="shared" si="4"/>
        <v/>
      </c>
      <c r="B30" s="81"/>
      <c r="C30" s="82"/>
      <c r="D30" s="44" t="str">
        <f t="shared" si="5"/>
        <v/>
      </c>
      <c r="E30" s="30" t="str">
        <f t="shared" si="13"/>
        <v>00:00:00</v>
      </c>
      <c r="F30" s="36" t="str">
        <f t="shared" si="6"/>
        <v/>
      </c>
      <c r="G30" s="36">
        <f t="shared" si="7"/>
        <v>0</v>
      </c>
      <c r="H30" s="3" t="str">
        <f t="shared" si="8"/>
        <v/>
      </c>
      <c r="I30" s="3">
        <f t="shared" si="14"/>
        <v>0</v>
      </c>
      <c r="L30" s="35">
        <f t="shared" si="19"/>
        <v>1</v>
      </c>
      <c r="M30" s="35" t="str">
        <f t="shared" si="15"/>
        <v/>
      </c>
      <c r="N30" s="3" t="str">
        <f t="shared" si="9"/>
        <v/>
      </c>
      <c r="O30" s="27" t="str">
        <f t="shared" si="10"/>
        <v/>
      </c>
      <c r="P30" s="3">
        <v>28</v>
      </c>
      <c r="Q30" s="3" t="e">
        <f t="shared" si="16"/>
        <v>#N/A</v>
      </c>
      <c r="R30" s="3" t="e">
        <f t="shared" si="17"/>
        <v>#N/A</v>
      </c>
      <c r="T30" s="46" t="str">
        <f t="shared" si="11"/>
        <v/>
      </c>
      <c r="U30" s="48" t="str">
        <f t="shared" si="12"/>
        <v/>
      </c>
      <c r="W30" s="56">
        <f t="shared" si="1"/>
        <v>0</v>
      </c>
      <c r="X30" s="57" t="str">
        <f t="shared" si="2"/>
        <v/>
      </c>
      <c r="Y30" s="58" t="str">
        <f t="shared" si="3"/>
        <v/>
      </c>
      <c r="AA30" s="62" t="str">
        <f t="shared" si="18"/>
        <v/>
      </c>
    </row>
    <row r="31" spans="1:27">
      <c r="A31" s="39" t="str">
        <f t="shared" si="4"/>
        <v/>
      </c>
      <c r="B31" s="81"/>
      <c r="C31" s="82"/>
      <c r="D31" s="44" t="str">
        <f t="shared" si="5"/>
        <v/>
      </c>
      <c r="E31" s="30" t="str">
        <f t="shared" si="13"/>
        <v>00:00:00</v>
      </c>
      <c r="F31" s="36" t="str">
        <f t="shared" si="6"/>
        <v/>
      </c>
      <c r="G31" s="36">
        <f t="shared" si="7"/>
        <v>0</v>
      </c>
      <c r="H31" s="3" t="str">
        <f t="shared" si="8"/>
        <v/>
      </c>
      <c r="I31" s="3">
        <f t="shared" si="14"/>
        <v>0</v>
      </c>
      <c r="L31" s="35">
        <f t="shared" si="19"/>
        <v>1</v>
      </c>
      <c r="M31" s="35" t="str">
        <f t="shared" si="15"/>
        <v/>
      </c>
      <c r="N31" s="3" t="str">
        <f t="shared" si="9"/>
        <v/>
      </c>
      <c r="O31" s="27" t="str">
        <f t="shared" si="10"/>
        <v/>
      </c>
      <c r="P31" s="3">
        <v>29</v>
      </c>
      <c r="Q31" s="3" t="e">
        <f t="shared" si="16"/>
        <v>#N/A</v>
      </c>
      <c r="R31" s="3" t="e">
        <f t="shared" si="17"/>
        <v>#N/A</v>
      </c>
      <c r="T31" s="46" t="str">
        <f t="shared" si="11"/>
        <v/>
      </c>
      <c r="U31" s="48" t="str">
        <f t="shared" si="12"/>
        <v/>
      </c>
      <c r="W31" s="56">
        <f t="shared" si="1"/>
        <v>0</v>
      </c>
      <c r="X31" s="57" t="str">
        <f t="shared" si="2"/>
        <v/>
      </c>
      <c r="Y31" s="58" t="str">
        <f t="shared" si="3"/>
        <v/>
      </c>
      <c r="AA31" s="62" t="str">
        <f t="shared" si="18"/>
        <v/>
      </c>
    </row>
    <row r="32" spans="1:27">
      <c r="A32" s="39" t="str">
        <f t="shared" si="4"/>
        <v/>
      </c>
      <c r="B32" s="81"/>
      <c r="C32" s="82"/>
      <c r="D32" s="44" t="str">
        <f t="shared" si="5"/>
        <v/>
      </c>
      <c r="E32" s="30" t="str">
        <f t="shared" si="13"/>
        <v>00:00:00</v>
      </c>
      <c r="F32" s="36" t="str">
        <f t="shared" si="6"/>
        <v/>
      </c>
      <c r="G32" s="36">
        <f t="shared" si="7"/>
        <v>0</v>
      </c>
      <c r="H32" s="3" t="str">
        <f t="shared" si="8"/>
        <v/>
      </c>
      <c r="I32" s="3">
        <f t="shared" si="14"/>
        <v>0</v>
      </c>
      <c r="L32" s="35">
        <f t="shared" si="19"/>
        <v>1</v>
      </c>
      <c r="M32" s="35" t="str">
        <f t="shared" si="15"/>
        <v/>
      </c>
      <c r="N32" s="3" t="str">
        <f t="shared" si="9"/>
        <v/>
      </c>
      <c r="O32" s="27" t="str">
        <f t="shared" si="10"/>
        <v/>
      </c>
      <c r="P32" s="3">
        <v>30</v>
      </c>
      <c r="Q32" s="3" t="e">
        <f t="shared" si="16"/>
        <v>#N/A</v>
      </c>
      <c r="R32" s="3" t="e">
        <f t="shared" si="17"/>
        <v>#N/A</v>
      </c>
      <c r="T32" s="46" t="str">
        <f t="shared" si="11"/>
        <v/>
      </c>
      <c r="U32" s="48" t="str">
        <f t="shared" si="12"/>
        <v/>
      </c>
      <c r="W32" s="56">
        <f t="shared" si="1"/>
        <v>0</v>
      </c>
      <c r="X32" s="57" t="str">
        <f t="shared" si="2"/>
        <v/>
      </c>
      <c r="Y32" s="58" t="str">
        <f t="shared" si="3"/>
        <v/>
      </c>
      <c r="AA32" s="62" t="str">
        <f t="shared" si="18"/>
        <v/>
      </c>
    </row>
    <row r="33" spans="1:27">
      <c r="A33" s="39" t="str">
        <f t="shared" si="4"/>
        <v/>
      </c>
      <c r="B33" s="81"/>
      <c r="C33" s="82"/>
      <c r="D33" s="44" t="str">
        <f t="shared" si="5"/>
        <v/>
      </c>
      <c r="E33" s="30" t="str">
        <f t="shared" si="13"/>
        <v>00:00:00</v>
      </c>
      <c r="F33" s="36" t="str">
        <f t="shared" si="6"/>
        <v/>
      </c>
      <c r="G33" s="36">
        <f t="shared" si="7"/>
        <v>0</v>
      </c>
      <c r="H33" s="3" t="str">
        <f t="shared" si="8"/>
        <v/>
      </c>
      <c r="I33" s="3">
        <f t="shared" si="14"/>
        <v>0</v>
      </c>
      <c r="L33" s="35">
        <f t="shared" si="19"/>
        <v>1</v>
      </c>
      <c r="M33" s="35" t="str">
        <f t="shared" si="15"/>
        <v/>
      </c>
      <c r="N33" s="3" t="str">
        <f t="shared" si="9"/>
        <v/>
      </c>
      <c r="O33" s="27" t="str">
        <f t="shared" si="10"/>
        <v/>
      </c>
      <c r="P33" s="3">
        <v>31</v>
      </c>
      <c r="Q33" s="3" t="e">
        <f t="shared" si="16"/>
        <v>#N/A</v>
      </c>
      <c r="R33" s="3" t="e">
        <f t="shared" si="17"/>
        <v>#N/A</v>
      </c>
      <c r="T33" s="46" t="str">
        <f t="shared" si="11"/>
        <v/>
      </c>
      <c r="U33" s="48" t="str">
        <f t="shared" si="12"/>
        <v/>
      </c>
      <c r="W33" s="56">
        <f t="shared" si="1"/>
        <v>0</v>
      </c>
      <c r="X33" s="57" t="str">
        <f t="shared" si="2"/>
        <v/>
      </c>
      <c r="Y33" s="58" t="str">
        <f t="shared" si="3"/>
        <v/>
      </c>
      <c r="AA33" s="62" t="str">
        <f t="shared" si="18"/>
        <v/>
      </c>
    </row>
    <row r="34" spans="1:27">
      <c r="A34" s="39" t="str">
        <f t="shared" si="4"/>
        <v/>
      </c>
      <c r="B34" s="81"/>
      <c r="C34" s="82"/>
      <c r="D34" s="44" t="str">
        <f t="shared" si="5"/>
        <v/>
      </c>
      <c r="E34" s="30" t="str">
        <f t="shared" si="13"/>
        <v>00:00:00</v>
      </c>
      <c r="F34" s="36" t="str">
        <f t="shared" si="6"/>
        <v/>
      </c>
      <c r="G34" s="36">
        <f t="shared" si="7"/>
        <v>0</v>
      </c>
      <c r="H34" s="3" t="str">
        <f t="shared" si="8"/>
        <v/>
      </c>
      <c r="I34" s="3">
        <f t="shared" si="14"/>
        <v>0</v>
      </c>
      <c r="L34" s="35">
        <f t="shared" si="19"/>
        <v>1</v>
      </c>
      <c r="M34" s="35" t="str">
        <f t="shared" si="15"/>
        <v/>
      </c>
      <c r="N34" s="3" t="str">
        <f t="shared" si="9"/>
        <v/>
      </c>
      <c r="O34" s="27" t="str">
        <f t="shared" si="10"/>
        <v/>
      </c>
      <c r="P34" s="3">
        <v>32</v>
      </c>
      <c r="Q34" s="3" t="e">
        <f t="shared" si="16"/>
        <v>#N/A</v>
      </c>
      <c r="R34" s="3" t="e">
        <f t="shared" si="17"/>
        <v>#N/A</v>
      </c>
      <c r="T34" s="46" t="str">
        <f t="shared" si="11"/>
        <v/>
      </c>
      <c r="U34" s="48" t="str">
        <f t="shared" si="12"/>
        <v/>
      </c>
      <c r="W34" s="56">
        <f t="shared" si="1"/>
        <v>0</v>
      </c>
      <c r="X34" s="57" t="str">
        <f t="shared" si="2"/>
        <v/>
      </c>
      <c r="Y34" s="58" t="str">
        <f t="shared" si="3"/>
        <v/>
      </c>
      <c r="AA34" s="62" t="str">
        <f t="shared" si="18"/>
        <v/>
      </c>
    </row>
    <row r="35" spans="1:27">
      <c r="A35" s="39" t="str">
        <f t="shared" si="4"/>
        <v/>
      </c>
      <c r="B35" s="81"/>
      <c r="C35" s="82"/>
      <c r="D35" s="44" t="str">
        <f t="shared" si="5"/>
        <v/>
      </c>
      <c r="E35" s="30" t="str">
        <f t="shared" si="13"/>
        <v>00:00:00</v>
      </c>
      <c r="F35" s="36" t="str">
        <f t="shared" si="6"/>
        <v/>
      </c>
      <c r="G35" s="36">
        <f t="shared" si="7"/>
        <v>0</v>
      </c>
      <c r="H35" s="3" t="str">
        <f t="shared" si="8"/>
        <v/>
      </c>
      <c r="I35" s="3">
        <f t="shared" si="14"/>
        <v>0</v>
      </c>
      <c r="L35" s="35">
        <f t="shared" si="19"/>
        <v>1</v>
      </c>
      <c r="M35" s="35" t="str">
        <f t="shared" si="15"/>
        <v/>
      </c>
      <c r="N35" s="3" t="str">
        <f t="shared" si="9"/>
        <v/>
      </c>
      <c r="O35" s="27" t="str">
        <f t="shared" si="10"/>
        <v/>
      </c>
      <c r="P35" s="3">
        <v>33</v>
      </c>
      <c r="Q35" s="3" t="e">
        <f t="shared" si="16"/>
        <v>#N/A</v>
      </c>
      <c r="R35" s="3" t="e">
        <f t="shared" si="17"/>
        <v>#N/A</v>
      </c>
      <c r="T35" s="46" t="str">
        <f t="shared" si="11"/>
        <v/>
      </c>
      <c r="U35" s="48" t="str">
        <f t="shared" si="12"/>
        <v/>
      </c>
      <c r="W35" s="56">
        <f t="shared" si="1"/>
        <v>0</v>
      </c>
      <c r="X35" s="57" t="str">
        <f t="shared" si="2"/>
        <v/>
      </c>
      <c r="Y35" s="58" t="str">
        <f t="shared" si="3"/>
        <v/>
      </c>
      <c r="AA35" s="62" t="str">
        <f t="shared" si="18"/>
        <v/>
      </c>
    </row>
    <row r="36" spans="1:27">
      <c r="A36" s="39" t="str">
        <f t="shared" si="4"/>
        <v/>
      </c>
      <c r="B36" s="81"/>
      <c r="C36" s="82"/>
      <c r="D36" s="44" t="str">
        <f t="shared" si="5"/>
        <v/>
      </c>
      <c r="E36" s="30" t="str">
        <f t="shared" si="13"/>
        <v>00:00:00</v>
      </c>
      <c r="F36" s="36" t="str">
        <f t="shared" si="6"/>
        <v/>
      </c>
      <c r="G36" s="36">
        <f t="shared" si="7"/>
        <v>0</v>
      </c>
      <c r="H36" s="3" t="str">
        <f t="shared" si="8"/>
        <v/>
      </c>
      <c r="I36" s="3">
        <f t="shared" si="14"/>
        <v>0</v>
      </c>
      <c r="L36" s="35">
        <f t="shared" si="19"/>
        <v>1</v>
      </c>
      <c r="M36" s="35" t="str">
        <f t="shared" si="15"/>
        <v/>
      </c>
      <c r="N36" s="3" t="str">
        <f t="shared" si="9"/>
        <v/>
      </c>
      <c r="O36" s="27" t="str">
        <f t="shared" si="10"/>
        <v/>
      </c>
      <c r="P36" s="3">
        <v>34</v>
      </c>
      <c r="Q36" s="3" t="e">
        <f t="shared" si="16"/>
        <v>#N/A</v>
      </c>
      <c r="R36" s="3" t="e">
        <f t="shared" si="17"/>
        <v>#N/A</v>
      </c>
      <c r="T36" s="46" t="str">
        <f t="shared" si="11"/>
        <v/>
      </c>
      <c r="U36" s="48" t="str">
        <f t="shared" si="12"/>
        <v/>
      </c>
      <c r="W36" s="56">
        <f t="shared" si="1"/>
        <v>0</v>
      </c>
      <c r="X36" s="57" t="str">
        <f t="shared" si="2"/>
        <v/>
      </c>
      <c r="Y36" s="58" t="str">
        <f t="shared" si="3"/>
        <v/>
      </c>
      <c r="AA36" s="62" t="str">
        <f t="shared" si="18"/>
        <v/>
      </c>
    </row>
    <row r="37" spans="1:27">
      <c r="A37" s="39" t="str">
        <f t="shared" si="4"/>
        <v/>
      </c>
      <c r="B37" s="81"/>
      <c r="C37" s="82"/>
      <c r="D37" s="44" t="str">
        <f t="shared" si="5"/>
        <v/>
      </c>
      <c r="E37" s="30" t="str">
        <f t="shared" si="13"/>
        <v>00:00:00</v>
      </c>
      <c r="F37" s="36" t="str">
        <f t="shared" si="6"/>
        <v/>
      </c>
      <c r="G37" s="36">
        <f t="shared" si="7"/>
        <v>0</v>
      </c>
      <c r="H37" s="3" t="str">
        <f t="shared" si="8"/>
        <v/>
      </c>
      <c r="I37" s="3">
        <f t="shared" si="14"/>
        <v>0</v>
      </c>
      <c r="L37" s="35">
        <f t="shared" si="19"/>
        <v>1</v>
      </c>
      <c r="M37" s="35" t="str">
        <f t="shared" si="15"/>
        <v/>
      </c>
      <c r="N37" s="3" t="str">
        <f t="shared" si="9"/>
        <v/>
      </c>
      <c r="O37" s="27" t="str">
        <f t="shared" si="10"/>
        <v/>
      </c>
      <c r="P37" s="3">
        <v>35</v>
      </c>
      <c r="Q37" s="3" t="e">
        <f t="shared" si="16"/>
        <v>#N/A</v>
      </c>
      <c r="R37" s="3" t="e">
        <f t="shared" si="17"/>
        <v>#N/A</v>
      </c>
      <c r="T37" s="46" t="str">
        <f t="shared" si="11"/>
        <v/>
      </c>
      <c r="U37" s="48" t="str">
        <f t="shared" si="12"/>
        <v/>
      </c>
      <c r="W37" s="56">
        <f t="shared" si="1"/>
        <v>0</v>
      </c>
      <c r="X37" s="57" t="str">
        <f t="shared" si="2"/>
        <v/>
      </c>
      <c r="Y37" s="58" t="str">
        <f t="shared" si="3"/>
        <v/>
      </c>
      <c r="AA37" s="62" t="str">
        <f t="shared" si="18"/>
        <v/>
      </c>
    </row>
    <row r="38" spans="1:27">
      <c r="A38" s="39" t="str">
        <f t="shared" si="4"/>
        <v/>
      </c>
      <c r="B38" s="81"/>
      <c r="C38" s="82"/>
      <c r="D38" s="44" t="str">
        <f t="shared" si="5"/>
        <v/>
      </c>
      <c r="E38" s="30" t="str">
        <f t="shared" si="13"/>
        <v>00:00:00</v>
      </c>
      <c r="F38" s="36" t="str">
        <f t="shared" si="6"/>
        <v/>
      </c>
      <c r="G38" s="36">
        <f t="shared" si="7"/>
        <v>0</v>
      </c>
      <c r="H38" s="3" t="str">
        <f t="shared" si="8"/>
        <v/>
      </c>
      <c r="I38" s="3">
        <f t="shared" si="14"/>
        <v>0</v>
      </c>
      <c r="L38" s="35">
        <f t="shared" si="19"/>
        <v>1</v>
      </c>
      <c r="M38" s="35" t="str">
        <f t="shared" si="15"/>
        <v/>
      </c>
      <c r="N38" s="3" t="str">
        <f t="shared" si="9"/>
        <v/>
      </c>
      <c r="O38" s="27" t="str">
        <f t="shared" si="10"/>
        <v/>
      </c>
      <c r="P38" s="3">
        <v>36</v>
      </c>
      <c r="Q38" s="3" t="e">
        <f t="shared" si="16"/>
        <v>#N/A</v>
      </c>
      <c r="R38" s="3" t="e">
        <f t="shared" si="17"/>
        <v>#N/A</v>
      </c>
      <c r="T38" s="46" t="str">
        <f t="shared" si="11"/>
        <v/>
      </c>
      <c r="U38" s="48" t="str">
        <f t="shared" si="12"/>
        <v/>
      </c>
      <c r="W38" s="56">
        <f t="shared" si="1"/>
        <v>0</v>
      </c>
      <c r="X38" s="57" t="str">
        <f t="shared" si="2"/>
        <v/>
      </c>
      <c r="Y38" s="58" t="str">
        <f t="shared" si="3"/>
        <v/>
      </c>
      <c r="AA38" s="62" t="str">
        <f t="shared" si="18"/>
        <v/>
      </c>
    </row>
    <row r="39" spans="1:27">
      <c r="A39" s="39" t="str">
        <f t="shared" si="4"/>
        <v/>
      </c>
      <c r="B39" s="81"/>
      <c r="C39" s="82"/>
      <c r="D39" s="44" t="str">
        <f t="shared" si="5"/>
        <v/>
      </c>
      <c r="E39" s="30" t="str">
        <f t="shared" si="13"/>
        <v>00:00:00</v>
      </c>
      <c r="F39" s="36" t="str">
        <f t="shared" si="6"/>
        <v/>
      </c>
      <c r="G39" s="36">
        <f t="shared" si="7"/>
        <v>0</v>
      </c>
      <c r="H39" s="3" t="str">
        <f t="shared" si="8"/>
        <v/>
      </c>
      <c r="I39" s="3">
        <f t="shared" si="14"/>
        <v>0</v>
      </c>
      <c r="L39" s="35">
        <f t="shared" si="19"/>
        <v>1</v>
      </c>
      <c r="M39" s="35" t="str">
        <f t="shared" si="15"/>
        <v/>
      </c>
      <c r="N39" s="3" t="str">
        <f t="shared" si="9"/>
        <v/>
      </c>
      <c r="O39" s="27" t="str">
        <f t="shared" si="10"/>
        <v/>
      </c>
      <c r="P39" s="3">
        <v>37</v>
      </c>
      <c r="Q39" s="3" t="e">
        <f t="shared" si="16"/>
        <v>#N/A</v>
      </c>
      <c r="R39" s="3" t="e">
        <f t="shared" si="17"/>
        <v>#N/A</v>
      </c>
      <c r="T39" s="46" t="str">
        <f t="shared" si="11"/>
        <v/>
      </c>
      <c r="U39" s="48" t="str">
        <f t="shared" si="12"/>
        <v/>
      </c>
      <c r="W39" s="56">
        <f t="shared" si="1"/>
        <v>0</v>
      </c>
      <c r="X39" s="57" t="str">
        <f t="shared" si="2"/>
        <v/>
      </c>
      <c r="Y39" s="58" t="str">
        <f t="shared" si="3"/>
        <v/>
      </c>
      <c r="AA39" s="62" t="str">
        <f t="shared" si="18"/>
        <v/>
      </c>
    </row>
    <row r="40" spans="1:27">
      <c r="A40" s="39" t="str">
        <f t="shared" si="4"/>
        <v/>
      </c>
      <c r="B40" s="81"/>
      <c r="C40" s="82"/>
      <c r="D40" s="44" t="str">
        <f t="shared" si="5"/>
        <v/>
      </c>
      <c r="E40" s="30" t="str">
        <f t="shared" si="13"/>
        <v>00:00:00</v>
      </c>
      <c r="F40" s="36" t="str">
        <f t="shared" si="6"/>
        <v/>
      </c>
      <c r="G40" s="36">
        <f t="shared" si="7"/>
        <v>0</v>
      </c>
      <c r="H40" s="3" t="str">
        <f t="shared" si="8"/>
        <v/>
      </c>
      <c r="I40" s="3">
        <f t="shared" si="14"/>
        <v>0</v>
      </c>
      <c r="L40" s="35">
        <f t="shared" si="19"/>
        <v>1</v>
      </c>
      <c r="M40" s="35" t="str">
        <f t="shared" si="15"/>
        <v/>
      </c>
      <c r="N40" s="3" t="str">
        <f t="shared" si="9"/>
        <v/>
      </c>
      <c r="O40" s="27" t="str">
        <f t="shared" si="10"/>
        <v/>
      </c>
      <c r="P40" s="3">
        <v>38</v>
      </c>
      <c r="Q40" s="3" t="e">
        <f t="shared" si="16"/>
        <v>#N/A</v>
      </c>
      <c r="R40" s="3" t="e">
        <f t="shared" si="17"/>
        <v>#N/A</v>
      </c>
      <c r="T40" s="46" t="str">
        <f t="shared" si="11"/>
        <v/>
      </c>
      <c r="U40" s="48" t="str">
        <f t="shared" si="12"/>
        <v/>
      </c>
      <c r="W40" s="56">
        <f t="shared" si="1"/>
        <v>0</v>
      </c>
      <c r="X40" s="57" t="str">
        <f t="shared" si="2"/>
        <v/>
      </c>
      <c r="Y40" s="58" t="str">
        <f t="shared" si="3"/>
        <v/>
      </c>
      <c r="AA40" s="62" t="str">
        <f t="shared" si="18"/>
        <v/>
      </c>
    </row>
    <row r="41" spans="1:27">
      <c r="A41" s="39" t="str">
        <f t="shared" si="4"/>
        <v/>
      </c>
      <c r="B41" s="81"/>
      <c r="C41" s="82"/>
      <c r="D41" s="44" t="str">
        <f t="shared" si="5"/>
        <v/>
      </c>
      <c r="E41" s="30" t="str">
        <f t="shared" si="13"/>
        <v>00:00:00</v>
      </c>
      <c r="F41" s="36" t="str">
        <f t="shared" si="6"/>
        <v/>
      </c>
      <c r="G41" s="36">
        <f t="shared" si="7"/>
        <v>0</v>
      </c>
      <c r="H41" s="3" t="str">
        <f t="shared" si="8"/>
        <v/>
      </c>
      <c r="I41" s="3">
        <f t="shared" si="14"/>
        <v>0</v>
      </c>
      <c r="L41" s="35">
        <f t="shared" si="19"/>
        <v>1</v>
      </c>
      <c r="M41" s="35" t="str">
        <f t="shared" si="15"/>
        <v/>
      </c>
      <c r="N41" s="3" t="str">
        <f t="shared" si="9"/>
        <v/>
      </c>
      <c r="O41" s="27" t="str">
        <f t="shared" si="10"/>
        <v/>
      </c>
      <c r="P41" s="3">
        <v>39</v>
      </c>
      <c r="Q41" s="3" t="e">
        <f t="shared" si="16"/>
        <v>#N/A</v>
      </c>
      <c r="R41" s="3" t="e">
        <f t="shared" si="17"/>
        <v>#N/A</v>
      </c>
      <c r="T41" s="46" t="str">
        <f t="shared" si="11"/>
        <v/>
      </c>
      <c r="U41" s="48" t="str">
        <f t="shared" si="12"/>
        <v/>
      </c>
      <c r="W41" s="56">
        <f t="shared" si="1"/>
        <v>0</v>
      </c>
      <c r="X41" s="57" t="str">
        <f t="shared" si="2"/>
        <v/>
      </c>
      <c r="Y41" s="58" t="str">
        <f t="shared" si="3"/>
        <v/>
      </c>
      <c r="AA41" s="62" t="str">
        <f t="shared" si="18"/>
        <v/>
      </c>
    </row>
    <row r="42" spans="1:27">
      <c r="A42" s="39" t="str">
        <f t="shared" si="4"/>
        <v/>
      </c>
      <c r="B42" s="81"/>
      <c r="C42" s="82"/>
      <c r="D42" s="44" t="str">
        <f t="shared" si="5"/>
        <v/>
      </c>
      <c r="E42" s="30" t="str">
        <f t="shared" si="13"/>
        <v>00:00:00</v>
      </c>
      <c r="F42" s="36" t="str">
        <f t="shared" si="6"/>
        <v/>
      </c>
      <c r="G42" s="36">
        <f t="shared" si="7"/>
        <v>0</v>
      </c>
      <c r="H42" s="3" t="str">
        <f t="shared" si="8"/>
        <v/>
      </c>
      <c r="I42" s="3">
        <f t="shared" si="14"/>
        <v>0</v>
      </c>
      <c r="L42" s="35">
        <f t="shared" si="19"/>
        <v>1</v>
      </c>
      <c r="M42" s="35" t="str">
        <f t="shared" si="15"/>
        <v/>
      </c>
      <c r="N42" s="3" t="str">
        <f t="shared" si="9"/>
        <v/>
      </c>
      <c r="O42" s="27" t="str">
        <f t="shared" si="10"/>
        <v/>
      </c>
      <c r="P42" s="3">
        <v>40</v>
      </c>
      <c r="Q42" s="3" t="e">
        <f t="shared" si="16"/>
        <v>#N/A</v>
      </c>
      <c r="R42" s="3" t="e">
        <f t="shared" si="17"/>
        <v>#N/A</v>
      </c>
      <c r="T42" s="46" t="str">
        <f t="shared" si="11"/>
        <v/>
      </c>
      <c r="U42" s="48" t="str">
        <f t="shared" si="12"/>
        <v/>
      </c>
      <c r="W42" s="56">
        <f t="shared" si="1"/>
        <v>0</v>
      </c>
      <c r="X42" s="57" t="str">
        <f t="shared" si="2"/>
        <v/>
      </c>
      <c r="Y42" s="58" t="str">
        <f t="shared" si="3"/>
        <v/>
      </c>
      <c r="AA42" s="62" t="str">
        <f t="shared" si="18"/>
        <v/>
      </c>
    </row>
    <row r="43" spans="1:27">
      <c r="A43" s="39" t="str">
        <f t="shared" si="4"/>
        <v/>
      </c>
      <c r="B43" s="81"/>
      <c r="C43" s="82"/>
      <c r="D43" s="44" t="str">
        <f t="shared" si="5"/>
        <v/>
      </c>
      <c r="E43" s="30" t="str">
        <f t="shared" si="13"/>
        <v>00:00:00</v>
      </c>
      <c r="F43" s="36" t="str">
        <f t="shared" si="6"/>
        <v/>
      </c>
      <c r="G43" s="36">
        <f t="shared" si="7"/>
        <v>0</v>
      </c>
      <c r="H43" s="3" t="str">
        <f t="shared" si="8"/>
        <v/>
      </c>
      <c r="I43" s="3">
        <f t="shared" si="14"/>
        <v>0</v>
      </c>
      <c r="L43" s="35">
        <f t="shared" si="19"/>
        <v>1</v>
      </c>
      <c r="M43" s="35" t="str">
        <f t="shared" si="15"/>
        <v/>
      </c>
      <c r="N43" s="3" t="str">
        <f t="shared" si="9"/>
        <v/>
      </c>
      <c r="O43" s="27" t="str">
        <f t="shared" si="10"/>
        <v/>
      </c>
      <c r="P43" s="3">
        <v>41</v>
      </c>
      <c r="Q43" s="3" t="e">
        <f t="shared" si="16"/>
        <v>#N/A</v>
      </c>
      <c r="R43" s="3" t="e">
        <f t="shared" si="17"/>
        <v>#N/A</v>
      </c>
      <c r="T43" s="46" t="str">
        <f t="shared" si="11"/>
        <v/>
      </c>
      <c r="U43" s="48" t="str">
        <f t="shared" si="12"/>
        <v/>
      </c>
      <c r="W43" s="56">
        <f t="shared" si="1"/>
        <v>0</v>
      </c>
      <c r="X43" s="57" t="str">
        <f t="shared" si="2"/>
        <v/>
      </c>
      <c r="Y43" s="58" t="str">
        <f t="shared" si="3"/>
        <v/>
      </c>
      <c r="AA43" s="62" t="str">
        <f t="shared" si="18"/>
        <v/>
      </c>
    </row>
    <row r="44" spans="1:27">
      <c r="A44" s="39" t="str">
        <f t="shared" si="4"/>
        <v/>
      </c>
      <c r="C44" s="82"/>
      <c r="D44" s="44" t="str">
        <f t="shared" si="5"/>
        <v/>
      </c>
      <c r="E44" s="30" t="str">
        <f t="shared" si="13"/>
        <v>00:00:00</v>
      </c>
      <c r="F44" s="36" t="str">
        <f t="shared" si="6"/>
        <v/>
      </c>
      <c r="G44" s="36">
        <f t="shared" si="7"/>
        <v>0</v>
      </c>
      <c r="H44" s="3" t="str">
        <f t="shared" si="8"/>
        <v/>
      </c>
      <c r="I44" s="3">
        <f t="shared" si="14"/>
        <v>0</v>
      </c>
      <c r="L44" s="35">
        <f t="shared" si="19"/>
        <v>1</v>
      </c>
      <c r="M44" s="35" t="str">
        <f t="shared" si="15"/>
        <v/>
      </c>
      <c r="N44" s="3" t="str">
        <f t="shared" si="9"/>
        <v/>
      </c>
      <c r="O44" s="27" t="str">
        <f t="shared" si="10"/>
        <v/>
      </c>
      <c r="P44" s="3">
        <v>42</v>
      </c>
      <c r="Q44" s="3" t="e">
        <f t="shared" si="16"/>
        <v>#N/A</v>
      </c>
      <c r="R44" s="3" t="e">
        <f t="shared" si="17"/>
        <v>#N/A</v>
      </c>
      <c r="T44" s="46" t="str">
        <f t="shared" si="11"/>
        <v/>
      </c>
      <c r="U44" s="48" t="str">
        <f t="shared" si="12"/>
        <v/>
      </c>
      <c r="W44" s="56">
        <f t="shared" si="1"/>
        <v>0</v>
      </c>
      <c r="X44" s="57" t="str">
        <f t="shared" si="2"/>
        <v/>
      </c>
      <c r="Y44" s="58" t="str">
        <f t="shared" si="3"/>
        <v/>
      </c>
      <c r="AA44" s="62" t="str">
        <f t="shared" si="18"/>
        <v/>
      </c>
    </row>
    <row r="45" spans="1:27">
      <c r="A45" s="39" t="str">
        <f t="shared" si="4"/>
        <v/>
      </c>
      <c r="C45" s="82"/>
      <c r="D45" s="44" t="str">
        <f t="shared" si="5"/>
        <v/>
      </c>
      <c r="E45" s="30" t="str">
        <f t="shared" si="13"/>
        <v>00:00:00</v>
      </c>
      <c r="F45" s="36" t="str">
        <f t="shared" si="6"/>
        <v/>
      </c>
      <c r="G45" s="36">
        <f t="shared" si="7"/>
        <v>0</v>
      </c>
      <c r="H45" s="3" t="str">
        <f t="shared" si="8"/>
        <v/>
      </c>
      <c r="I45" s="3">
        <f t="shared" si="14"/>
        <v>0</v>
      </c>
      <c r="L45" s="35">
        <f t="shared" si="19"/>
        <v>1</v>
      </c>
      <c r="M45" s="35" t="str">
        <f t="shared" si="15"/>
        <v/>
      </c>
      <c r="N45" s="3" t="str">
        <f t="shared" si="9"/>
        <v/>
      </c>
      <c r="O45" s="27" t="str">
        <f t="shared" si="10"/>
        <v/>
      </c>
      <c r="P45" s="3">
        <v>43</v>
      </c>
      <c r="Q45" s="3" t="e">
        <f t="shared" si="16"/>
        <v>#N/A</v>
      </c>
      <c r="R45" s="3" t="e">
        <f t="shared" si="17"/>
        <v>#N/A</v>
      </c>
      <c r="T45" s="46" t="str">
        <f t="shared" si="11"/>
        <v/>
      </c>
      <c r="U45" s="48" t="str">
        <f t="shared" si="12"/>
        <v/>
      </c>
      <c r="W45" s="56">
        <f t="shared" si="1"/>
        <v>0</v>
      </c>
      <c r="X45" s="57" t="str">
        <f t="shared" si="2"/>
        <v/>
      </c>
      <c r="Y45" s="58" t="str">
        <f t="shared" si="3"/>
        <v/>
      </c>
      <c r="AA45" s="62" t="str">
        <f t="shared" si="18"/>
        <v/>
      </c>
    </row>
    <row r="46" spans="1:27">
      <c r="A46" s="39" t="str">
        <f t="shared" si="4"/>
        <v/>
      </c>
      <c r="C46" s="82"/>
      <c r="D46" s="44" t="str">
        <f t="shared" si="5"/>
        <v/>
      </c>
      <c r="E46" s="30" t="str">
        <f t="shared" si="13"/>
        <v>00:00:00</v>
      </c>
      <c r="F46" s="36" t="str">
        <f t="shared" si="6"/>
        <v/>
      </c>
      <c r="G46" s="36">
        <f t="shared" si="7"/>
        <v>0</v>
      </c>
      <c r="H46" s="3" t="str">
        <f t="shared" si="8"/>
        <v/>
      </c>
      <c r="I46" s="3">
        <f t="shared" si="14"/>
        <v>0</v>
      </c>
      <c r="L46" s="35">
        <f t="shared" si="19"/>
        <v>1</v>
      </c>
      <c r="M46" s="35" t="str">
        <f t="shared" si="15"/>
        <v/>
      </c>
      <c r="N46" s="3" t="str">
        <f t="shared" si="9"/>
        <v/>
      </c>
      <c r="O46" s="27" t="str">
        <f t="shared" si="10"/>
        <v/>
      </c>
      <c r="P46" s="3">
        <v>44</v>
      </c>
      <c r="Q46" s="3" t="e">
        <f t="shared" si="16"/>
        <v>#N/A</v>
      </c>
      <c r="R46" s="3" t="e">
        <f t="shared" si="17"/>
        <v>#N/A</v>
      </c>
      <c r="T46" s="46" t="str">
        <f t="shared" si="11"/>
        <v/>
      </c>
      <c r="U46" s="48" t="str">
        <f t="shared" si="12"/>
        <v/>
      </c>
      <c r="W46" s="56">
        <f t="shared" si="1"/>
        <v>0</v>
      </c>
      <c r="X46" s="57" t="str">
        <f t="shared" si="2"/>
        <v/>
      </c>
      <c r="Y46" s="58" t="str">
        <f t="shared" si="3"/>
        <v/>
      </c>
      <c r="AA46" s="62" t="str">
        <f t="shared" si="18"/>
        <v/>
      </c>
    </row>
    <row r="47" spans="1:27">
      <c r="A47" s="39" t="str">
        <f t="shared" si="4"/>
        <v/>
      </c>
      <c r="C47" s="82"/>
      <c r="D47" s="44" t="str">
        <f t="shared" si="5"/>
        <v/>
      </c>
      <c r="E47" s="30" t="str">
        <f t="shared" si="13"/>
        <v>00:00:00</v>
      </c>
      <c r="F47" s="36" t="str">
        <f t="shared" si="6"/>
        <v/>
      </c>
      <c r="G47" s="36">
        <f t="shared" si="7"/>
        <v>0</v>
      </c>
      <c r="H47" s="3" t="str">
        <f t="shared" si="8"/>
        <v/>
      </c>
      <c r="I47" s="3">
        <f t="shared" si="14"/>
        <v>0</v>
      </c>
      <c r="L47" s="35">
        <f t="shared" si="19"/>
        <v>1</v>
      </c>
      <c r="M47" s="35" t="str">
        <f t="shared" si="15"/>
        <v/>
      </c>
      <c r="N47" s="3" t="str">
        <f t="shared" si="9"/>
        <v/>
      </c>
      <c r="O47" s="27" t="str">
        <f t="shared" si="10"/>
        <v/>
      </c>
      <c r="P47" s="3">
        <v>45</v>
      </c>
      <c r="Q47" s="3" t="e">
        <f t="shared" si="16"/>
        <v>#N/A</v>
      </c>
      <c r="R47" s="3" t="e">
        <f t="shared" si="17"/>
        <v>#N/A</v>
      </c>
      <c r="T47" s="46" t="str">
        <f t="shared" si="11"/>
        <v/>
      </c>
      <c r="U47" s="48" t="str">
        <f t="shared" si="12"/>
        <v/>
      </c>
      <c r="W47" s="56">
        <f t="shared" si="1"/>
        <v>0</v>
      </c>
      <c r="X47" s="57" t="str">
        <f t="shared" si="2"/>
        <v/>
      </c>
      <c r="Y47" s="58" t="str">
        <f t="shared" si="3"/>
        <v/>
      </c>
      <c r="AA47" s="62" t="str">
        <f t="shared" si="18"/>
        <v/>
      </c>
    </row>
    <row r="48" spans="1:27">
      <c r="A48" s="39" t="str">
        <f t="shared" si="4"/>
        <v/>
      </c>
      <c r="C48" s="82"/>
      <c r="D48" s="44" t="str">
        <f t="shared" si="5"/>
        <v/>
      </c>
      <c r="E48" s="30" t="str">
        <f t="shared" si="13"/>
        <v>00:00:00</v>
      </c>
      <c r="F48" s="36" t="str">
        <f t="shared" si="6"/>
        <v/>
      </c>
      <c r="G48" s="36">
        <f t="shared" si="7"/>
        <v>0</v>
      </c>
      <c r="H48" s="3" t="str">
        <f t="shared" si="8"/>
        <v/>
      </c>
      <c r="I48" s="3">
        <f t="shared" si="14"/>
        <v>0</v>
      </c>
      <c r="L48" s="35">
        <f t="shared" si="19"/>
        <v>1</v>
      </c>
      <c r="M48" s="35" t="str">
        <f t="shared" si="15"/>
        <v/>
      </c>
      <c r="N48" s="3" t="str">
        <f t="shared" si="9"/>
        <v/>
      </c>
      <c r="O48" s="27" t="str">
        <f t="shared" si="10"/>
        <v/>
      </c>
      <c r="P48" s="3">
        <v>46</v>
      </c>
      <c r="Q48" s="3" t="e">
        <f t="shared" si="16"/>
        <v>#N/A</v>
      </c>
      <c r="R48" s="3" t="e">
        <f t="shared" si="17"/>
        <v>#N/A</v>
      </c>
      <c r="T48" s="46" t="str">
        <f t="shared" si="11"/>
        <v/>
      </c>
      <c r="U48" s="48" t="str">
        <f t="shared" si="12"/>
        <v/>
      </c>
      <c r="W48" s="56">
        <f t="shared" si="1"/>
        <v>0</v>
      </c>
      <c r="X48" s="57" t="str">
        <f t="shared" si="2"/>
        <v/>
      </c>
      <c r="Y48" s="58" t="str">
        <f t="shared" si="3"/>
        <v/>
      </c>
      <c r="AA48" s="62" t="str">
        <f t="shared" si="18"/>
        <v/>
      </c>
    </row>
    <row r="49" spans="1:27">
      <c r="A49" s="39" t="str">
        <f t="shared" si="4"/>
        <v/>
      </c>
      <c r="C49" s="82"/>
      <c r="D49" s="44" t="str">
        <f t="shared" si="5"/>
        <v/>
      </c>
      <c r="E49" s="30" t="str">
        <f t="shared" si="13"/>
        <v>00:00:00</v>
      </c>
      <c r="F49" s="36" t="str">
        <f t="shared" si="6"/>
        <v/>
      </c>
      <c r="G49" s="36">
        <f t="shared" si="7"/>
        <v>0</v>
      </c>
      <c r="H49" s="3" t="str">
        <f t="shared" si="8"/>
        <v/>
      </c>
      <c r="I49" s="3">
        <f t="shared" si="14"/>
        <v>0</v>
      </c>
      <c r="L49" s="35">
        <f t="shared" si="19"/>
        <v>1</v>
      </c>
      <c r="M49" s="35" t="str">
        <f t="shared" si="15"/>
        <v/>
      </c>
      <c r="N49" s="3" t="str">
        <f t="shared" si="9"/>
        <v/>
      </c>
      <c r="O49" s="27" t="str">
        <f t="shared" si="10"/>
        <v/>
      </c>
      <c r="P49" s="3">
        <v>47</v>
      </c>
      <c r="Q49" s="3" t="e">
        <f t="shared" si="16"/>
        <v>#N/A</v>
      </c>
      <c r="R49" s="3" t="e">
        <f t="shared" si="17"/>
        <v>#N/A</v>
      </c>
      <c r="T49" s="46" t="str">
        <f t="shared" si="11"/>
        <v/>
      </c>
      <c r="U49" s="48" t="str">
        <f t="shared" si="12"/>
        <v/>
      </c>
      <c r="W49" s="56">
        <f t="shared" si="1"/>
        <v>0</v>
      </c>
      <c r="X49" s="57" t="str">
        <f t="shared" si="2"/>
        <v/>
      </c>
      <c r="Y49" s="58" t="str">
        <f t="shared" si="3"/>
        <v/>
      </c>
      <c r="AA49" s="62" t="str">
        <f t="shared" si="18"/>
        <v/>
      </c>
    </row>
    <row r="50" spans="1:27">
      <c r="A50" s="39" t="str">
        <f t="shared" si="4"/>
        <v/>
      </c>
      <c r="C50" s="82"/>
      <c r="D50" s="44" t="str">
        <f t="shared" si="5"/>
        <v/>
      </c>
      <c r="E50" s="30" t="str">
        <f t="shared" si="13"/>
        <v>00:00:00</v>
      </c>
      <c r="F50" s="36" t="str">
        <f t="shared" si="6"/>
        <v/>
      </c>
      <c r="G50" s="36">
        <f t="shared" si="7"/>
        <v>0</v>
      </c>
      <c r="H50" s="3" t="str">
        <f t="shared" si="8"/>
        <v/>
      </c>
      <c r="I50" s="3">
        <f t="shared" si="14"/>
        <v>0</v>
      </c>
      <c r="L50" s="35">
        <f t="shared" si="19"/>
        <v>1</v>
      </c>
      <c r="M50" s="35" t="str">
        <f t="shared" si="15"/>
        <v/>
      </c>
      <c r="N50" s="3" t="str">
        <f t="shared" si="9"/>
        <v/>
      </c>
      <c r="O50" s="27" t="str">
        <f t="shared" si="10"/>
        <v/>
      </c>
      <c r="P50" s="3">
        <v>48</v>
      </c>
      <c r="Q50" s="3" t="e">
        <f t="shared" si="16"/>
        <v>#N/A</v>
      </c>
      <c r="R50" s="3" t="e">
        <f t="shared" si="17"/>
        <v>#N/A</v>
      </c>
      <c r="T50" s="46" t="str">
        <f t="shared" si="11"/>
        <v/>
      </c>
      <c r="U50" s="48" t="str">
        <f t="shared" si="12"/>
        <v/>
      </c>
      <c r="W50" s="56">
        <f t="shared" si="1"/>
        <v>0</v>
      </c>
      <c r="X50" s="57" t="str">
        <f t="shared" si="2"/>
        <v/>
      </c>
      <c r="Y50" s="58" t="str">
        <f t="shared" si="3"/>
        <v/>
      </c>
      <c r="AA50" s="62" t="str">
        <f t="shared" si="18"/>
        <v/>
      </c>
    </row>
    <row r="51" spans="1:27">
      <c r="A51" s="39" t="str">
        <f t="shared" si="4"/>
        <v/>
      </c>
      <c r="C51" s="82"/>
      <c r="D51" s="44" t="str">
        <f t="shared" si="5"/>
        <v/>
      </c>
      <c r="E51" s="30" t="str">
        <f t="shared" si="13"/>
        <v>00:00:00</v>
      </c>
      <c r="F51" s="36" t="str">
        <f t="shared" si="6"/>
        <v/>
      </c>
      <c r="G51" s="36">
        <f t="shared" si="7"/>
        <v>0</v>
      </c>
      <c r="H51" s="3" t="str">
        <f t="shared" si="8"/>
        <v/>
      </c>
      <c r="I51" s="3">
        <f t="shared" si="14"/>
        <v>0</v>
      </c>
      <c r="L51" s="35">
        <f t="shared" si="19"/>
        <v>1</v>
      </c>
      <c r="M51" s="35" t="str">
        <f t="shared" si="15"/>
        <v/>
      </c>
      <c r="N51" s="3" t="str">
        <f t="shared" si="9"/>
        <v/>
      </c>
      <c r="O51" s="27" t="str">
        <f t="shared" si="10"/>
        <v/>
      </c>
      <c r="P51" s="3">
        <v>49</v>
      </c>
      <c r="Q51" s="3" t="e">
        <f t="shared" si="16"/>
        <v>#N/A</v>
      </c>
      <c r="R51" s="3" t="e">
        <f t="shared" si="17"/>
        <v>#N/A</v>
      </c>
      <c r="T51" s="46" t="str">
        <f t="shared" si="11"/>
        <v/>
      </c>
      <c r="U51" s="48" t="str">
        <f t="shared" si="12"/>
        <v/>
      </c>
      <c r="W51" s="56">
        <f t="shared" si="1"/>
        <v>0</v>
      </c>
      <c r="X51" s="57" t="str">
        <f t="shared" si="2"/>
        <v/>
      </c>
      <c r="Y51" s="58" t="str">
        <f t="shared" si="3"/>
        <v/>
      </c>
      <c r="AA51" s="62" t="str">
        <f t="shared" si="18"/>
        <v/>
      </c>
    </row>
    <row r="52" spans="1:27">
      <c r="A52" s="39" t="str">
        <f t="shared" si="4"/>
        <v/>
      </c>
      <c r="C52" s="82"/>
      <c r="D52" s="44" t="str">
        <f t="shared" si="5"/>
        <v/>
      </c>
      <c r="E52" s="30" t="str">
        <f t="shared" si="13"/>
        <v>00:00:00</v>
      </c>
      <c r="F52" s="36" t="str">
        <f t="shared" si="6"/>
        <v/>
      </c>
      <c r="G52" s="36">
        <f t="shared" si="7"/>
        <v>0</v>
      </c>
      <c r="H52" s="3" t="str">
        <f t="shared" si="8"/>
        <v/>
      </c>
      <c r="I52" s="3">
        <f t="shared" si="14"/>
        <v>0</v>
      </c>
      <c r="L52" s="35">
        <f t="shared" si="19"/>
        <v>1</v>
      </c>
      <c r="M52" s="35" t="str">
        <f t="shared" si="15"/>
        <v/>
      </c>
      <c r="N52" s="3" t="str">
        <f t="shared" si="9"/>
        <v/>
      </c>
      <c r="O52" s="27" t="str">
        <f t="shared" si="10"/>
        <v/>
      </c>
      <c r="P52" s="3">
        <v>50</v>
      </c>
      <c r="Q52" s="3" t="e">
        <f t="shared" si="16"/>
        <v>#N/A</v>
      </c>
      <c r="R52" s="3" t="e">
        <f t="shared" si="17"/>
        <v>#N/A</v>
      </c>
      <c r="T52" s="46" t="str">
        <f t="shared" si="11"/>
        <v/>
      </c>
      <c r="U52" s="48" t="str">
        <f t="shared" si="12"/>
        <v/>
      </c>
      <c r="W52" s="56">
        <f t="shared" si="1"/>
        <v>0</v>
      </c>
      <c r="X52" s="57" t="str">
        <f t="shared" si="2"/>
        <v/>
      </c>
      <c r="Y52" s="58" t="str">
        <f t="shared" si="3"/>
        <v/>
      </c>
      <c r="AA52" s="62" t="str">
        <f t="shared" si="18"/>
        <v/>
      </c>
    </row>
    <row r="53" spans="1:27">
      <c r="A53" s="39" t="str">
        <f t="shared" si="4"/>
        <v/>
      </c>
      <c r="C53" s="82"/>
      <c r="D53" s="44" t="str">
        <f t="shared" si="5"/>
        <v/>
      </c>
      <c r="E53" s="30" t="str">
        <f t="shared" si="13"/>
        <v>00:00:00</v>
      </c>
      <c r="F53" s="36" t="str">
        <f t="shared" si="6"/>
        <v/>
      </c>
      <c r="G53" s="36">
        <f t="shared" si="7"/>
        <v>0</v>
      </c>
      <c r="H53" s="3" t="str">
        <f t="shared" si="8"/>
        <v/>
      </c>
      <c r="I53" s="3">
        <f t="shared" si="14"/>
        <v>0</v>
      </c>
      <c r="L53" s="35">
        <f t="shared" si="19"/>
        <v>1</v>
      </c>
      <c r="M53" s="35" t="str">
        <f t="shared" si="15"/>
        <v/>
      </c>
      <c r="N53" s="3" t="str">
        <f t="shared" si="9"/>
        <v/>
      </c>
      <c r="O53" s="27" t="str">
        <f t="shared" si="10"/>
        <v/>
      </c>
      <c r="P53" s="3">
        <v>51</v>
      </c>
      <c r="Q53" s="3" t="e">
        <f t="shared" si="16"/>
        <v>#N/A</v>
      </c>
      <c r="R53" s="3" t="e">
        <f t="shared" si="17"/>
        <v>#N/A</v>
      </c>
      <c r="T53" s="46" t="str">
        <f t="shared" si="11"/>
        <v/>
      </c>
      <c r="U53" s="48" t="str">
        <f t="shared" si="12"/>
        <v/>
      </c>
      <c r="W53" s="56">
        <f t="shared" si="1"/>
        <v>0</v>
      </c>
      <c r="X53" s="57" t="str">
        <f t="shared" si="2"/>
        <v/>
      </c>
      <c r="Y53" s="58" t="str">
        <f t="shared" si="3"/>
        <v/>
      </c>
      <c r="AA53" s="62" t="str">
        <f t="shared" si="18"/>
        <v/>
      </c>
    </row>
    <row r="54" spans="1:27">
      <c r="A54" s="39" t="str">
        <f t="shared" si="4"/>
        <v/>
      </c>
      <c r="C54" s="82"/>
      <c r="D54" s="44" t="str">
        <f t="shared" si="5"/>
        <v/>
      </c>
      <c r="E54" s="30" t="str">
        <f t="shared" si="13"/>
        <v>00:00:00</v>
      </c>
      <c r="F54" s="36" t="str">
        <f t="shared" si="6"/>
        <v/>
      </c>
      <c r="G54" s="36">
        <f t="shared" si="7"/>
        <v>0</v>
      </c>
      <c r="H54" s="3" t="str">
        <f t="shared" si="8"/>
        <v/>
      </c>
      <c r="I54" s="3">
        <f t="shared" si="14"/>
        <v>0</v>
      </c>
      <c r="L54" s="35">
        <f t="shared" si="19"/>
        <v>1</v>
      </c>
      <c r="M54" s="35" t="str">
        <f t="shared" si="15"/>
        <v/>
      </c>
      <c r="N54" s="3" t="str">
        <f t="shared" si="9"/>
        <v/>
      </c>
      <c r="O54" s="27" t="str">
        <f t="shared" si="10"/>
        <v/>
      </c>
      <c r="P54" s="3">
        <v>52</v>
      </c>
      <c r="Q54" s="3" t="e">
        <f t="shared" si="16"/>
        <v>#N/A</v>
      </c>
      <c r="R54" s="3" t="e">
        <f t="shared" si="17"/>
        <v>#N/A</v>
      </c>
      <c r="T54" s="46" t="str">
        <f t="shared" si="11"/>
        <v/>
      </c>
      <c r="U54" s="48" t="str">
        <f t="shared" si="12"/>
        <v/>
      </c>
      <c r="W54" s="56">
        <f t="shared" si="1"/>
        <v>0</v>
      </c>
      <c r="X54" s="57" t="str">
        <f t="shared" si="2"/>
        <v/>
      </c>
      <c r="Y54" s="58" t="str">
        <f t="shared" si="3"/>
        <v/>
      </c>
      <c r="AA54" s="62" t="str">
        <f t="shared" si="18"/>
        <v/>
      </c>
    </row>
    <row r="55" spans="1:27">
      <c r="A55" s="39" t="str">
        <f t="shared" si="4"/>
        <v/>
      </c>
      <c r="C55" s="82"/>
      <c r="D55" s="44" t="str">
        <f t="shared" si="5"/>
        <v/>
      </c>
      <c r="E55" s="30" t="str">
        <f t="shared" si="13"/>
        <v>00:00:00</v>
      </c>
      <c r="F55" s="36" t="str">
        <f t="shared" si="6"/>
        <v/>
      </c>
      <c r="G55" s="36">
        <f t="shared" si="7"/>
        <v>0</v>
      </c>
      <c r="H55" s="3" t="str">
        <f t="shared" si="8"/>
        <v/>
      </c>
      <c r="I55" s="3">
        <f t="shared" si="14"/>
        <v>0</v>
      </c>
      <c r="L55" s="35">
        <f t="shared" si="19"/>
        <v>1</v>
      </c>
      <c r="M55" s="35" t="str">
        <f t="shared" si="15"/>
        <v/>
      </c>
      <c r="N55" s="3" t="str">
        <f t="shared" si="9"/>
        <v/>
      </c>
      <c r="O55" s="27" t="str">
        <f t="shared" si="10"/>
        <v/>
      </c>
      <c r="P55" s="3">
        <v>53</v>
      </c>
      <c r="Q55" s="3" t="e">
        <f t="shared" si="16"/>
        <v>#N/A</v>
      </c>
      <c r="R55" s="3" t="e">
        <f t="shared" si="17"/>
        <v>#N/A</v>
      </c>
      <c r="T55" s="46" t="str">
        <f t="shared" si="11"/>
        <v/>
      </c>
      <c r="U55" s="48" t="str">
        <f t="shared" si="12"/>
        <v/>
      </c>
      <c r="W55" s="56">
        <f t="shared" si="1"/>
        <v>0</v>
      </c>
      <c r="X55" s="57" t="str">
        <f t="shared" si="2"/>
        <v/>
      </c>
      <c r="Y55" s="58" t="str">
        <f t="shared" si="3"/>
        <v/>
      </c>
      <c r="AA55" s="62" t="str">
        <f t="shared" si="18"/>
        <v/>
      </c>
    </row>
    <row r="56" spans="1:27">
      <c r="A56" s="39" t="str">
        <f t="shared" si="4"/>
        <v/>
      </c>
      <c r="C56" s="82"/>
      <c r="D56" s="44" t="str">
        <f t="shared" si="5"/>
        <v/>
      </c>
      <c r="E56" s="30" t="str">
        <f t="shared" si="13"/>
        <v>00:00:00</v>
      </c>
      <c r="F56" s="36" t="str">
        <f t="shared" si="6"/>
        <v/>
      </c>
      <c r="G56" s="36">
        <f t="shared" si="7"/>
        <v>0</v>
      </c>
      <c r="H56" s="3" t="str">
        <f t="shared" si="8"/>
        <v/>
      </c>
      <c r="I56" s="3">
        <f t="shared" si="14"/>
        <v>0</v>
      </c>
      <c r="L56" s="35">
        <f t="shared" si="19"/>
        <v>1</v>
      </c>
      <c r="M56" s="35" t="str">
        <f t="shared" si="15"/>
        <v/>
      </c>
      <c r="N56" s="3" t="str">
        <f t="shared" si="9"/>
        <v/>
      </c>
      <c r="O56" s="27" t="str">
        <f t="shared" si="10"/>
        <v/>
      </c>
      <c r="P56" s="3">
        <v>54</v>
      </c>
      <c r="Q56" s="3" t="e">
        <f t="shared" si="16"/>
        <v>#N/A</v>
      </c>
      <c r="R56" s="3" t="e">
        <f t="shared" si="17"/>
        <v>#N/A</v>
      </c>
      <c r="T56" s="46" t="str">
        <f t="shared" si="11"/>
        <v/>
      </c>
      <c r="U56" s="48" t="str">
        <f t="shared" si="12"/>
        <v/>
      </c>
      <c r="W56" s="56">
        <f t="shared" si="1"/>
        <v>0</v>
      </c>
      <c r="X56" s="57" t="str">
        <f t="shared" si="2"/>
        <v/>
      </c>
      <c r="Y56" s="58" t="str">
        <f t="shared" si="3"/>
        <v/>
      </c>
      <c r="AA56" s="62" t="str">
        <f t="shared" si="18"/>
        <v/>
      </c>
    </row>
    <row r="57" spans="1:27">
      <c r="A57" s="39" t="str">
        <f t="shared" si="4"/>
        <v/>
      </c>
      <c r="C57" s="82"/>
      <c r="D57" s="44" t="str">
        <f t="shared" si="5"/>
        <v/>
      </c>
      <c r="E57" s="30" t="str">
        <f t="shared" si="13"/>
        <v>00:00:00</v>
      </c>
      <c r="F57" s="36" t="str">
        <f t="shared" si="6"/>
        <v/>
      </c>
      <c r="G57" s="36">
        <f t="shared" si="7"/>
        <v>0</v>
      </c>
      <c r="H57" s="3" t="str">
        <f t="shared" si="8"/>
        <v/>
      </c>
      <c r="I57" s="3">
        <f t="shared" si="14"/>
        <v>0</v>
      </c>
      <c r="L57" s="35">
        <f t="shared" si="19"/>
        <v>1</v>
      </c>
      <c r="M57" s="35" t="str">
        <f t="shared" si="15"/>
        <v/>
      </c>
      <c r="N57" s="3" t="str">
        <f t="shared" si="9"/>
        <v/>
      </c>
      <c r="O57" s="27" t="str">
        <f t="shared" si="10"/>
        <v/>
      </c>
      <c r="P57" s="3">
        <v>55</v>
      </c>
      <c r="Q57" s="3" t="e">
        <f t="shared" si="16"/>
        <v>#N/A</v>
      </c>
      <c r="R57" s="3" t="e">
        <f t="shared" si="17"/>
        <v>#N/A</v>
      </c>
      <c r="T57" s="46" t="str">
        <f t="shared" si="11"/>
        <v/>
      </c>
      <c r="U57" s="48" t="str">
        <f t="shared" si="12"/>
        <v/>
      </c>
      <c r="W57" s="56">
        <f t="shared" si="1"/>
        <v>0</v>
      </c>
      <c r="X57" s="57" t="str">
        <f t="shared" si="2"/>
        <v/>
      </c>
      <c r="Y57" s="58" t="str">
        <f t="shared" si="3"/>
        <v/>
      </c>
      <c r="AA57" s="62" t="str">
        <f t="shared" si="18"/>
        <v/>
      </c>
    </row>
    <row r="58" spans="1:27">
      <c r="A58" s="39" t="str">
        <f t="shared" si="4"/>
        <v/>
      </c>
      <c r="C58" s="82"/>
      <c r="D58" s="44" t="str">
        <f t="shared" si="5"/>
        <v/>
      </c>
      <c r="E58" s="30" t="str">
        <f t="shared" si="13"/>
        <v>00:00:00</v>
      </c>
      <c r="F58" s="36" t="str">
        <f t="shared" si="6"/>
        <v/>
      </c>
      <c r="G58" s="36">
        <f t="shared" si="7"/>
        <v>0</v>
      </c>
      <c r="H58" s="3" t="str">
        <f t="shared" si="8"/>
        <v/>
      </c>
      <c r="I58" s="3">
        <f t="shared" si="14"/>
        <v>0</v>
      </c>
      <c r="L58" s="35">
        <f t="shared" si="19"/>
        <v>1</v>
      </c>
      <c r="M58" s="35" t="str">
        <f t="shared" si="15"/>
        <v/>
      </c>
      <c r="N58" s="3" t="str">
        <f t="shared" si="9"/>
        <v/>
      </c>
      <c r="O58" s="27" t="str">
        <f t="shared" si="10"/>
        <v/>
      </c>
      <c r="P58" s="3">
        <v>56</v>
      </c>
      <c r="Q58" s="3" t="e">
        <f t="shared" si="16"/>
        <v>#N/A</v>
      </c>
      <c r="R58" s="3" t="e">
        <f t="shared" si="17"/>
        <v>#N/A</v>
      </c>
      <c r="T58" s="46" t="str">
        <f t="shared" si="11"/>
        <v/>
      </c>
      <c r="U58" s="48" t="str">
        <f t="shared" si="12"/>
        <v/>
      </c>
      <c r="W58" s="56">
        <f t="shared" si="1"/>
        <v>0</v>
      </c>
      <c r="X58" s="57" t="str">
        <f t="shared" si="2"/>
        <v/>
      </c>
      <c r="Y58" s="58" t="str">
        <f t="shared" si="3"/>
        <v/>
      </c>
      <c r="AA58" s="62" t="str">
        <f t="shared" si="18"/>
        <v/>
      </c>
    </row>
    <row r="59" spans="1:27">
      <c r="A59" s="39" t="str">
        <f t="shared" si="4"/>
        <v/>
      </c>
      <c r="C59" s="82"/>
      <c r="D59" s="44" t="str">
        <f t="shared" si="5"/>
        <v/>
      </c>
      <c r="E59" s="30" t="str">
        <f t="shared" si="13"/>
        <v>00:00:00</v>
      </c>
      <c r="F59" s="36" t="str">
        <f t="shared" si="6"/>
        <v/>
      </c>
      <c r="G59" s="36">
        <f t="shared" si="7"/>
        <v>0</v>
      </c>
      <c r="H59" s="3" t="str">
        <f t="shared" si="8"/>
        <v/>
      </c>
      <c r="I59" s="3">
        <f t="shared" si="14"/>
        <v>0</v>
      </c>
      <c r="L59" s="35">
        <f t="shared" si="19"/>
        <v>1</v>
      </c>
      <c r="M59" s="35" t="str">
        <f t="shared" si="15"/>
        <v/>
      </c>
      <c r="N59" s="3" t="str">
        <f t="shared" si="9"/>
        <v/>
      </c>
      <c r="O59" s="27" t="str">
        <f t="shared" si="10"/>
        <v/>
      </c>
      <c r="P59" s="3">
        <v>57</v>
      </c>
      <c r="Q59" s="3" t="e">
        <f t="shared" si="16"/>
        <v>#N/A</v>
      </c>
      <c r="R59" s="3" t="e">
        <f t="shared" si="17"/>
        <v>#N/A</v>
      </c>
      <c r="T59" s="46" t="str">
        <f t="shared" si="11"/>
        <v/>
      </c>
      <c r="U59" s="48" t="str">
        <f t="shared" si="12"/>
        <v/>
      </c>
      <c r="W59" s="56">
        <f t="shared" si="1"/>
        <v>0</v>
      </c>
      <c r="X59" s="57" t="str">
        <f t="shared" si="2"/>
        <v/>
      </c>
      <c r="Y59" s="58" t="str">
        <f t="shared" si="3"/>
        <v/>
      </c>
      <c r="AA59" s="62" t="str">
        <f t="shared" si="18"/>
        <v/>
      </c>
    </row>
    <row r="60" spans="1:27">
      <c r="A60" s="39" t="str">
        <f t="shared" si="4"/>
        <v/>
      </c>
      <c r="C60" s="82"/>
      <c r="D60" s="44" t="str">
        <f t="shared" si="5"/>
        <v/>
      </c>
      <c r="E60" s="30" t="str">
        <f t="shared" si="13"/>
        <v>00:00:00</v>
      </c>
      <c r="F60" s="36" t="str">
        <f t="shared" si="6"/>
        <v/>
      </c>
      <c r="G60" s="36">
        <f t="shared" si="7"/>
        <v>0</v>
      </c>
      <c r="H60" s="3" t="str">
        <f t="shared" si="8"/>
        <v/>
      </c>
      <c r="I60" s="3">
        <f t="shared" si="14"/>
        <v>0</v>
      </c>
      <c r="L60" s="35">
        <f t="shared" si="19"/>
        <v>1</v>
      </c>
      <c r="M60" s="35" t="str">
        <f t="shared" si="15"/>
        <v/>
      </c>
      <c r="N60" s="3" t="str">
        <f t="shared" si="9"/>
        <v/>
      </c>
      <c r="O60" s="27" t="str">
        <f t="shared" si="10"/>
        <v/>
      </c>
      <c r="P60" s="3">
        <v>58</v>
      </c>
      <c r="Q60" s="3" t="e">
        <f t="shared" si="16"/>
        <v>#N/A</v>
      </c>
      <c r="R60" s="3" t="e">
        <f t="shared" si="17"/>
        <v>#N/A</v>
      </c>
      <c r="T60" s="46" t="str">
        <f t="shared" si="11"/>
        <v/>
      </c>
      <c r="U60" s="48" t="str">
        <f t="shared" si="12"/>
        <v/>
      </c>
      <c r="W60" s="56">
        <f t="shared" si="1"/>
        <v>0</v>
      </c>
      <c r="X60" s="57" t="str">
        <f t="shared" si="2"/>
        <v/>
      </c>
      <c r="Y60" s="58" t="str">
        <f t="shared" si="3"/>
        <v/>
      </c>
      <c r="AA60" s="62" t="str">
        <f t="shared" si="18"/>
        <v/>
      </c>
    </row>
    <row r="61" spans="1:27">
      <c r="A61" s="39" t="str">
        <f t="shared" si="4"/>
        <v/>
      </c>
      <c r="C61" s="82"/>
      <c r="D61" s="44" t="str">
        <f t="shared" si="5"/>
        <v/>
      </c>
      <c r="E61" s="30" t="str">
        <f t="shared" si="13"/>
        <v>00:00:00</v>
      </c>
      <c r="F61" s="36" t="str">
        <f t="shared" si="6"/>
        <v/>
      </c>
      <c r="G61" s="36">
        <f t="shared" si="7"/>
        <v>0</v>
      </c>
      <c r="H61" s="3" t="str">
        <f t="shared" si="8"/>
        <v/>
      </c>
      <c r="I61" s="3">
        <f t="shared" si="14"/>
        <v>0</v>
      </c>
      <c r="L61" s="35">
        <f t="shared" si="19"/>
        <v>1</v>
      </c>
      <c r="M61" s="35" t="str">
        <f t="shared" si="15"/>
        <v/>
      </c>
      <c r="N61" s="3" t="str">
        <f t="shared" si="9"/>
        <v/>
      </c>
      <c r="O61" s="27" t="str">
        <f t="shared" si="10"/>
        <v/>
      </c>
      <c r="P61" s="3">
        <v>59</v>
      </c>
      <c r="Q61" s="3" t="e">
        <f t="shared" si="16"/>
        <v>#N/A</v>
      </c>
      <c r="R61" s="3" t="e">
        <f t="shared" si="17"/>
        <v>#N/A</v>
      </c>
      <c r="T61" s="46" t="str">
        <f t="shared" si="11"/>
        <v/>
      </c>
      <c r="U61" s="48" t="str">
        <f t="shared" si="12"/>
        <v/>
      </c>
      <c r="W61" s="56">
        <f t="shared" si="1"/>
        <v>0</v>
      </c>
      <c r="X61" s="57" t="str">
        <f t="shared" si="2"/>
        <v/>
      </c>
      <c r="Y61" s="58" t="str">
        <f t="shared" si="3"/>
        <v/>
      </c>
      <c r="AA61" s="62" t="str">
        <f t="shared" si="18"/>
        <v/>
      </c>
    </row>
    <row r="62" spans="1:27">
      <c r="A62" s="39" t="str">
        <f t="shared" si="4"/>
        <v/>
      </c>
      <c r="C62" s="82"/>
      <c r="D62" s="44" t="str">
        <f t="shared" si="5"/>
        <v/>
      </c>
      <c r="E62" s="30" t="str">
        <f t="shared" si="13"/>
        <v>00:00:00</v>
      </c>
      <c r="F62" s="36" t="str">
        <f t="shared" si="6"/>
        <v/>
      </c>
      <c r="G62" s="36">
        <f t="shared" si="7"/>
        <v>0</v>
      </c>
      <c r="H62" s="3" t="str">
        <f t="shared" si="8"/>
        <v/>
      </c>
      <c r="I62" s="3">
        <f t="shared" si="14"/>
        <v>0</v>
      </c>
      <c r="L62" s="35">
        <f t="shared" si="19"/>
        <v>1</v>
      </c>
      <c r="M62" s="35" t="str">
        <f t="shared" si="15"/>
        <v/>
      </c>
      <c r="N62" s="3" t="str">
        <f t="shared" si="9"/>
        <v/>
      </c>
      <c r="O62" s="27" t="str">
        <f t="shared" si="10"/>
        <v/>
      </c>
      <c r="P62" s="3">
        <v>60</v>
      </c>
      <c r="Q62" s="3" t="e">
        <f t="shared" si="16"/>
        <v>#N/A</v>
      </c>
      <c r="R62" s="3" t="e">
        <f t="shared" si="17"/>
        <v>#N/A</v>
      </c>
      <c r="T62" s="46" t="str">
        <f t="shared" si="11"/>
        <v/>
      </c>
      <c r="U62" s="48" t="str">
        <f t="shared" si="12"/>
        <v/>
      </c>
      <c r="W62" s="56">
        <f t="shared" si="1"/>
        <v>0</v>
      </c>
      <c r="X62" s="57" t="str">
        <f t="shared" si="2"/>
        <v/>
      </c>
      <c r="Y62" s="58" t="str">
        <f t="shared" si="3"/>
        <v/>
      </c>
      <c r="AA62" s="62" t="str">
        <f t="shared" si="18"/>
        <v/>
      </c>
    </row>
    <row r="63" spans="1:27">
      <c r="A63" s="39" t="str">
        <f t="shared" si="4"/>
        <v/>
      </c>
      <c r="C63" s="82"/>
      <c r="D63" s="44" t="str">
        <f t="shared" si="5"/>
        <v/>
      </c>
      <c r="E63" s="30" t="str">
        <f t="shared" si="13"/>
        <v>00:00:00</v>
      </c>
      <c r="F63" s="36" t="str">
        <f t="shared" si="6"/>
        <v/>
      </c>
      <c r="G63" s="36">
        <f t="shared" si="7"/>
        <v>0</v>
      </c>
      <c r="H63" s="3" t="str">
        <f t="shared" si="8"/>
        <v/>
      </c>
      <c r="I63" s="3">
        <f t="shared" si="14"/>
        <v>0</v>
      </c>
      <c r="L63" s="35">
        <f t="shared" si="19"/>
        <v>1</v>
      </c>
      <c r="M63" s="35" t="str">
        <f t="shared" si="15"/>
        <v/>
      </c>
      <c r="N63" s="3" t="str">
        <f t="shared" si="9"/>
        <v/>
      </c>
      <c r="O63" s="27" t="str">
        <f t="shared" si="10"/>
        <v/>
      </c>
      <c r="P63" s="3">
        <v>61</v>
      </c>
      <c r="Q63" s="3" t="e">
        <f t="shared" si="16"/>
        <v>#N/A</v>
      </c>
      <c r="R63" s="3" t="e">
        <f t="shared" si="17"/>
        <v>#N/A</v>
      </c>
      <c r="T63" s="46" t="str">
        <f t="shared" si="11"/>
        <v/>
      </c>
      <c r="U63" s="48" t="str">
        <f t="shared" si="12"/>
        <v/>
      </c>
      <c r="W63" s="56">
        <f t="shared" si="1"/>
        <v>0</v>
      </c>
      <c r="X63" s="57" t="str">
        <f t="shared" si="2"/>
        <v/>
      </c>
      <c r="Y63" s="58" t="str">
        <f t="shared" si="3"/>
        <v/>
      </c>
      <c r="AA63" s="62" t="str">
        <f t="shared" si="18"/>
        <v/>
      </c>
    </row>
    <row r="64" spans="1:27">
      <c r="A64" s="39" t="str">
        <f t="shared" si="4"/>
        <v/>
      </c>
      <c r="C64" s="82"/>
      <c r="D64" s="44" t="str">
        <f t="shared" si="5"/>
        <v/>
      </c>
      <c r="E64" s="30" t="str">
        <f t="shared" si="13"/>
        <v>00:00:00</v>
      </c>
      <c r="F64" s="36" t="str">
        <f t="shared" si="6"/>
        <v/>
      </c>
      <c r="G64" s="36">
        <f t="shared" si="7"/>
        <v>0</v>
      </c>
      <c r="H64" s="3" t="str">
        <f t="shared" si="8"/>
        <v/>
      </c>
      <c r="I64" s="3">
        <f t="shared" si="14"/>
        <v>0</v>
      </c>
      <c r="L64" s="35">
        <f t="shared" si="19"/>
        <v>1</v>
      </c>
      <c r="M64" s="35" t="str">
        <f t="shared" si="15"/>
        <v/>
      </c>
      <c r="N64" s="3" t="str">
        <f t="shared" si="9"/>
        <v/>
      </c>
      <c r="O64" s="27" t="str">
        <f t="shared" si="10"/>
        <v/>
      </c>
      <c r="P64" s="3">
        <v>62</v>
      </c>
      <c r="Q64" s="3" t="e">
        <f t="shared" si="16"/>
        <v>#N/A</v>
      </c>
      <c r="R64" s="3" t="e">
        <f t="shared" si="17"/>
        <v>#N/A</v>
      </c>
      <c r="T64" s="46" t="str">
        <f t="shared" si="11"/>
        <v/>
      </c>
      <c r="U64" s="48" t="str">
        <f t="shared" si="12"/>
        <v/>
      </c>
      <c r="W64" s="56">
        <f t="shared" si="1"/>
        <v>0</v>
      </c>
      <c r="X64" s="57" t="str">
        <f t="shared" si="2"/>
        <v/>
      </c>
      <c r="Y64" s="58" t="str">
        <f t="shared" si="3"/>
        <v/>
      </c>
      <c r="AA64" s="62" t="str">
        <f t="shared" si="18"/>
        <v/>
      </c>
    </row>
    <row r="65" spans="1:27">
      <c r="A65" s="39" t="str">
        <f t="shared" si="4"/>
        <v/>
      </c>
      <c r="C65" s="82"/>
      <c r="D65" s="44" t="str">
        <f t="shared" si="5"/>
        <v/>
      </c>
      <c r="E65" s="30" t="str">
        <f t="shared" si="13"/>
        <v>00:00:00</v>
      </c>
      <c r="F65" s="36" t="str">
        <f t="shared" si="6"/>
        <v/>
      </c>
      <c r="G65" s="36">
        <f t="shared" si="7"/>
        <v>0</v>
      </c>
      <c r="H65" s="3" t="str">
        <f t="shared" si="8"/>
        <v/>
      </c>
      <c r="I65" s="3">
        <f t="shared" si="14"/>
        <v>0</v>
      </c>
      <c r="L65" s="35">
        <f t="shared" si="19"/>
        <v>1</v>
      </c>
      <c r="M65" s="35" t="str">
        <f t="shared" si="15"/>
        <v/>
      </c>
      <c r="N65" s="3" t="str">
        <f t="shared" si="9"/>
        <v/>
      </c>
      <c r="O65" s="27" t="str">
        <f t="shared" si="10"/>
        <v/>
      </c>
      <c r="P65" s="3">
        <v>63</v>
      </c>
      <c r="Q65" s="3" t="e">
        <f t="shared" si="16"/>
        <v>#N/A</v>
      </c>
      <c r="R65" s="3" t="e">
        <f t="shared" si="17"/>
        <v>#N/A</v>
      </c>
      <c r="T65" s="46" t="str">
        <f t="shared" si="11"/>
        <v/>
      </c>
      <c r="U65" s="48" t="str">
        <f t="shared" si="12"/>
        <v/>
      </c>
      <c r="W65" s="56">
        <f t="shared" si="1"/>
        <v>0</v>
      </c>
      <c r="X65" s="57" t="str">
        <f t="shared" si="2"/>
        <v/>
      </c>
      <c r="Y65" s="58" t="str">
        <f t="shared" si="3"/>
        <v/>
      </c>
      <c r="AA65" s="62" t="str">
        <f t="shared" si="18"/>
        <v/>
      </c>
    </row>
    <row r="66" spans="1:27">
      <c r="A66" s="39" t="str">
        <f t="shared" si="4"/>
        <v/>
      </c>
      <c r="C66" s="82"/>
      <c r="D66" s="44" t="str">
        <f t="shared" si="5"/>
        <v/>
      </c>
      <c r="E66" s="30" t="str">
        <f t="shared" si="13"/>
        <v>00:00:00</v>
      </c>
      <c r="F66" s="36" t="str">
        <f t="shared" si="6"/>
        <v/>
      </c>
      <c r="G66" s="36">
        <f t="shared" si="7"/>
        <v>0</v>
      </c>
      <c r="H66" s="3" t="str">
        <f t="shared" si="8"/>
        <v/>
      </c>
      <c r="I66" s="3">
        <f t="shared" si="14"/>
        <v>0</v>
      </c>
      <c r="L66" s="35">
        <f t="shared" si="19"/>
        <v>1</v>
      </c>
      <c r="M66" s="35" t="str">
        <f t="shared" si="15"/>
        <v/>
      </c>
      <c r="N66" s="3" t="str">
        <f t="shared" si="9"/>
        <v/>
      </c>
      <c r="O66" s="27" t="str">
        <f t="shared" si="10"/>
        <v/>
      </c>
      <c r="P66" s="3">
        <v>64</v>
      </c>
      <c r="Q66" s="3" t="e">
        <f t="shared" si="16"/>
        <v>#N/A</v>
      </c>
      <c r="R66" s="3" t="e">
        <f t="shared" si="17"/>
        <v>#N/A</v>
      </c>
      <c r="T66" s="46" t="str">
        <f t="shared" si="11"/>
        <v/>
      </c>
      <c r="U66" s="48" t="str">
        <f t="shared" si="12"/>
        <v/>
      </c>
      <c r="W66" s="56">
        <f t="shared" ref="W66:W129" si="20">IF(H66&lt;&gt;H67,1,0)</f>
        <v>0</v>
      </c>
      <c r="X66" s="57" t="str">
        <f t="shared" ref="X66:X129" si="21">IF(W66=1,H66,"")</f>
        <v/>
      </c>
      <c r="Y66" s="58" t="str">
        <f t="shared" ref="Y66:Y129" si="22">D66</f>
        <v/>
      </c>
      <c r="AA66" s="62" t="str">
        <f t="shared" si="18"/>
        <v/>
      </c>
    </row>
    <row r="67" spans="1:27">
      <c r="A67" s="39" t="str">
        <f t="shared" ref="A67:A107" si="23">IF(ISNUMBER(B67),WEEKNUM(B67),"")</f>
        <v/>
      </c>
      <c r="C67" s="82"/>
      <c r="D67" s="44" t="str">
        <f t="shared" ref="D67:D130" si="24">IF(ISNUMBER(C67),IF(A67=A68,D68,E67),"")</f>
        <v/>
      </c>
      <c r="E67" s="30" t="str">
        <f t="shared" si="13"/>
        <v>00:00:00</v>
      </c>
      <c r="F67" s="36" t="str">
        <f t="shared" ref="F67:F130" si="25">IF(G67=0,"",IF(G67&lt;8,1,IF(G67&lt;15,2,IF(G67&lt;22,3,4))))</f>
        <v/>
      </c>
      <c r="G67" s="36">
        <f t="shared" ref="G67:G130" si="26">DAY(B67)</f>
        <v>0</v>
      </c>
      <c r="H67" s="3" t="str">
        <f t="shared" ref="H67:H130" si="27">IF(ISNUMBER(B67),VLOOKUP(MONTH(B67),$J$2:$K$13,2,FALSE),"")</f>
        <v/>
      </c>
      <c r="I67" s="3">
        <f t="shared" ref="I67:I130" si="28">IF(A67&lt;&gt;A68,1,0)</f>
        <v>0</v>
      </c>
      <c r="L67" s="35">
        <f t="shared" si="19"/>
        <v>1</v>
      </c>
      <c r="M67" s="35" t="str">
        <f t="shared" si="15"/>
        <v/>
      </c>
      <c r="N67" s="3" t="str">
        <f t="shared" ref="N67:N130" si="29">IF(I67=1,"Semana #"&amp;A67&amp;" del año y Semana #"&amp;F67&amp;" de "&amp;H67,"")</f>
        <v/>
      </c>
      <c r="O67" s="27" t="str">
        <f t="shared" ref="O67:O130" si="30">D67</f>
        <v/>
      </c>
      <c r="P67" s="3">
        <v>65</v>
      </c>
      <c r="Q67" s="3" t="e">
        <f t="shared" si="16"/>
        <v>#N/A</v>
      </c>
      <c r="R67" s="3" t="e">
        <f t="shared" si="17"/>
        <v>#N/A</v>
      </c>
      <c r="T67" s="46" t="str">
        <f t="shared" ref="T67:T130" si="31">IFERROR(R67,"")</f>
        <v/>
      </c>
      <c r="U67" s="48" t="str">
        <f t="shared" ref="U67:U130" si="32">IFERROR(Q67,"")</f>
        <v/>
      </c>
      <c r="W67" s="56">
        <f t="shared" si="20"/>
        <v>0</v>
      </c>
      <c r="X67" s="57" t="str">
        <f t="shared" si="21"/>
        <v/>
      </c>
      <c r="Y67" s="58" t="str">
        <f t="shared" si="22"/>
        <v/>
      </c>
      <c r="AA67" s="62" t="str">
        <f t="shared" si="18"/>
        <v/>
      </c>
    </row>
    <row r="68" spans="1:27">
      <c r="A68" s="39" t="str">
        <f t="shared" si="23"/>
        <v/>
      </c>
      <c r="C68" s="82"/>
      <c r="D68" s="44" t="str">
        <f t="shared" si="24"/>
        <v/>
      </c>
      <c r="E68" s="30" t="str">
        <f t="shared" ref="E68:E131" si="33">IF(A68&lt;&gt;A67,TEXT(C68,"hh:mm:ss"),TEXT(C68+E67,"hh:mm:ss"))</f>
        <v>00:00:00</v>
      </c>
      <c r="F68" s="36" t="str">
        <f t="shared" si="25"/>
        <v/>
      </c>
      <c r="G68" s="36">
        <f t="shared" si="26"/>
        <v>0</v>
      </c>
      <c r="H68" s="3" t="str">
        <f t="shared" si="27"/>
        <v/>
      </c>
      <c r="I68" s="3">
        <f t="shared" si="28"/>
        <v>0</v>
      </c>
      <c r="L68" s="35">
        <f t="shared" si="19"/>
        <v>1</v>
      </c>
      <c r="M68" s="35" t="str">
        <f t="shared" ref="M68:M131" si="34">IF(L68=L69,"",L68)</f>
        <v/>
      </c>
      <c r="N68" s="3" t="str">
        <f t="shared" si="29"/>
        <v/>
      </c>
      <c r="O68" s="27" t="str">
        <f t="shared" si="30"/>
        <v/>
      </c>
      <c r="P68" s="3">
        <v>66</v>
      </c>
      <c r="Q68" s="3" t="e">
        <f t="shared" ref="Q68:Q131" si="35">VLOOKUP(P68,M:O,3,FALSE)</f>
        <v>#N/A</v>
      </c>
      <c r="R68" s="3" t="e">
        <f t="shared" ref="R68:R131" si="36">VLOOKUP(P68,M:N,2,FALSE)</f>
        <v>#N/A</v>
      </c>
      <c r="T68" s="46" t="str">
        <f t="shared" si="31"/>
        <v/>
      </c>
      <c r="U68" s="48" t="str">
        <f t="shared" si="32"/>
        <v/>
      </c>
      <c r="W68" s="56">
        <f t="shared" si="20"/>
        <v>0</v>
      </c>
      <c r="X68" s="57" t="str">
        <f t="shared" si="21"/>
        <v/>
      </c>
      <c r="Y68" s="58" t="str">
        <f t="shared" si="22"/>
        <v/>
      </c>
      <c r="AA68" s="62" t="str">
        <f t="shared" ref="AA68:AA131" si="37">IFERROR(VLOOKUP(Z68,X:Y,2,FALSE),"")</f>
        <v/>
      </c>
    </row>
    <row r="69" spans="1:27">
      <c r="A69" s="39" t="str">
        <f t="shared" si="23"/>
        <v/>
      </c>
      <c r="C69" s="82"/>
      <c r="D69" s="44" t="str">
        <f t="shared" si="24"/>
        <v/>
      </c>
      <c r="E69" s="30" t="str">
        <f t="shared" si="33"/>
        <v>00:00:00</v>
      </c>
      <c r="F69" s="36" t="str">
        <f t="shared" si="25"/>
        <v/>
      </c>
      <c r="G69" s="36">
        <f t="shared" si="26"/>
        <v>0</v>
      </c>
      <c r="H69" s="3" t="str">
        <f t="shared" si="27"/>
        <v/>
      </c>
      <c r="I69" s="3">
        <f t="shared" si="28"/>
        <v>0</v>
      </c>
      <c r="L69" s="35">
        <f t="shared" si="19"/>
        <v>1</v>
      </c>
      <c r="M69" s="35" t="str">
        <f t="shared" si="34"/>
        <v/>
      </c>
      <c r="N69" s="3" t="str">
        <f t="shared" si="29"/>
        <v/>
      </c>
      <c r="O69" s="27" t="str">
        <f t="shared" si="30"/>
        <v/>
      </c>
      <c r="P69" s="3">
        <v>67</v>
      </c>
      <c r="Q69" s="3" t="e">
        <f t="shared" si="35"/>
        <v>#N/A</v>
      </c>
      <c r="R69" s="3" t="e">
        <f t="shared" si="36"/>
        <v>#N/A</v>
      </c>
      <c r="T69" s="46" t="str">
        <f t="shared" si="31"/>
        <v/>
      </c>
      <c r="U69" s="48" t="str">
        <f t="shared" si="32"/>
        <v/>
      </c>
      <c r="W69" s="56">
        <f t="shared" si="20"/>
        <v>0</v>
      </c>
      <c r="X69" s="57" t="str">
        <f t="shared" si="21"/>
        <v/>
      </c>
      <c r="Y69" s="58" t="str">
        <f t="shared" si="22"/>
        <v/>
      </c>
      <c r="AA69" s="62" t="str">
        <f t="shared" si="37"/>
        <v/>
      </c>
    </row>
    <row r="70" spans="1:27">
      <c r="A70" s="39" t="str">
        <f t="shared" si="23"/>
        <v/>
      </c>
      <c r="C70" s="82"/>
      <c r="D70" s="44" t="str">
        <f t="shared" si="24"/>
        <v/>
      </c>
      <c r="E70" s="30" t="str">
        <f t="shared" si="33"/>
        <v>00:00:00</v>
      </c>
      <c r="F70" s="36" t="str">
        <f t="shared" si="25"/>
        <v/>
      </c>
      <c r="G70" s="36">
        <f t="shared" si="26"/>
        <v>0</v>
      </c>
      <c r="H70" s="3" t="str">
        <f t="shared" si="27"/>
        <v/>
      </c>
      <c r="I70" s="3">
        <f t="shared" si="28"/>
        <v>0</v>
      </c>
      <c r="L70" s="35">
        <f t="shared" si="19"/>
        <v>1</v>
      </c>
      <c r="M70" s="35" t="str">
        <f t="shared" si="34"/>
        <v/>
      </c>
      <c r="N70" s="3" t="str">
        <f t="shared" si="29"/>
        <v/>
      </c>
      <c r="O70" s="27" t="str">
        <f t="shared" si="30"/>
        <v/>
      </c>
      <c r="P70" s="3">
        <v>68</v>
      </c>
      <c r="Q70" s="3" t="e">
        <f t="shared" si="35"/>
        <v>#N/A</v>
      </c>
      <c r="R70" s="3" t="e">
        <f t="shared" si="36"/>
        <v>#N/A</v>
      </c>
      <c r="T70" s="46" t="str">
        <f t="shared" si="31"/>
        <v/>
      </c>
      <c r="U70" s="48" t="str">
        <f t="shared" si="32"/>
        <v/>
      </c>
      <c r="W70" s="56">
        <f t="shared" si="20"/>
        <v>0</v>
      </c>
      <c r="X70" s="57" t="str">
        <f t="shared" si="21"/>
        <v/>
      </c>
      <c r="Y70" s="58" t="str">
        <f t="shared" si="22"/>
        <v/>
      </c>
      <c r="AA70" s="62" t="str">
        <f t="shared" si="37"/>
        <v/>
      </c>
    </row>
    <row r="71" spans="1:27">
      <c r="A71" s="39" t="str">
        <f t="shared" si="23"/>
        <v/>
      </c>
      <c r="C71" s="82"/>
      <c r="D71" s="44" t="str">
        <f t="shared" si="24"/>
        <v/>
      </c>
      <c r="E71" s="30" t="str">
        <f t="shared" si="33"/>
        <v>00:00:00</v>
      </c>
      <c r="F71" s="36" t="str">
        <f t="shared" si="25"/>
        <v/>
      </c>
      <c r="G71" s="36">
        <f t="shared" si="26"/>
        <v>0</v>
      </c>
      <c r="H71" s="3" t="str">
        <f t="shared" si="27"/>
        <v/>
      </c>
      <c r="I71" s="3">
        <f t="shared" si="28"/>
        <v>0</v>
      </c>
      <c r="L71" s="35">
        <f t="shared" si="19"/>
        <v>1</v>
      </c>
      <c r="M71" s="35" t="str">
        <f t="shared" si="34"/>
        <v/>
      </c>
      <c r="N71" s="3" t="str">
        <f t="shared" si="29"/>
        <v/>
      </c>
      <c r="O71" s="27" t="str">
        <f t="shared" si="30"/>
        <v/>
      </c>
      <c r="P71" s="3">
        <v>69</v>
      </c>
      <c r="Q71" s="3" t="e">
        <f t="shared" si="35"/>
        <v>#N/A</v>
      </c>
      <c r="R71" s="3" t="e">
        <f t="shared" si="36"/>
        <v>#N/A</v>
      </c>
      <c r="T71" s="46" t="str">
        <f t="shared" si="31"/>
        <v/>
      </c>
      <c r="U71" s="48" t="str">
        <f t="shared" si="32"/>
        <v/>
      </c>
      <c r="W71" s="56">
        <f t="shared" si="20"/>
        <v>0</v>
      </c>
      <c r="X71" s="57" t="str">
        <f t="shared" si="21"/>
        <v/>
      </c>
      <c r="Y71" s="58" t="str">
        <f t="shared" si="22"/>
        <v/>
      </c>
      <c r="AA71" s="62" t="str">
        <f t="shared" si="37"/>
        <v/>
      </c>
    </row>
    <row r="72" spans="1:27">
      <c r="A72" s="39" t="str">
        <f t="shared" si="23"/>
        <v/>
      </c>
      <c r="C72" s="82"/>
      <c r="D72" s="44" t="str">
        <f t="shared" si="24"/>
        <v/>
      </c>
      <c r="E72" s="30" t="str">
        <f t="shared" si="33"/>
        <v>00:00:00</v>
      </c>
      <c r="F72" s="36" t="str">
        <f t="shared" si="25"/>
        <v/>
      </c>
      <c r="G72" s="36">
        <f t="shared" si="26"/>
        <v>0</v>
      </c>
      <c r="H72" s="3" t="str">
        <f t="shared" si="27"/>
        <v/>
      </c>
      <c r="I72" s="3">
        <f t="shared" si="28"/>
        <v>0</v>
      </c>
      <c r="L72" s="35">
        <f t="shared" si="19"/>
        <v>1</v>
      </c>
      <c r="M72" s="35" t="str">
        <f t="shared" si="34"/>
        <v/>
      </c>
      <c r="N72" s="3" t="str">
        <f t="shared" si="29"/>
        <v/>
      </c>
      <c r="O72" s="27" t="str">
        <f t="shared" si="30"/>
        <v/>
      </c>
      <c r="P72" s="3">
        <v>70</v>
      </c>
      <c r="Q72" s="3" t="e">
        <f t="shared" si="35"/>
        <v>#N/A</v>
      </c>
      <c r="R72" s="3" t="e">
        <f t="shared" si="36"/>
        <v>#N/A</v>
      </c>
      <c r="T72" s="46" t="str">
        <f t="shared" si="31"/>
        <v/>
      </c>
      <c r="U72" s="48" t="str">
        <f t="shared" si="32"/>
        <v/>
      </c>
      <c r="W72" s="56">
        <f t="shared" si="20"/>
        <v>0</v>
      </c>
      <c r="X72" s="57" t="str">
        <f t="shared" si="21"/>
        <v/>
      </c>
      <c r="Y72" s="58" t="str">
        <f t="shared" si="22"/>
        <v/>
      </c>
      <c r="AA72" s="62" t="str">
        <f t="shared" si="37"/>
        <v/>
      </c>
    </row>
    <row r="73" spans="1:27">
      <c r="A73" s="39" t="str">
        <f t="shared" si="23"/>
        <v/>
      </c>
      <c r="C73" s="82"/>
      <c r="D73" s="44" t="str">
        <f t="shared" si="24"/>
        <v/>
      </c>
      <c r="E73" s="30" t="str">
        <f t="shared" si="33"/>
        <v>00:00:00</v>
      </c>
      <c r="F73" s="36" t="str">
        <f t="shared" si="25"/>
        <v/>
      </c>
      <c r="G73" s="36">
        <f t="shared" si="26"/>
        <v>0</v>
      </c>
      <c r="H73" s="3" t="str">
        <f t="shared" si="27"/>
        <v/>
      </c>
      <c r="I73" s="3">
        <f t="shared" si="28"/>
        <v>0</v>
      </c>
      <c r="L73" s="35">
        <f t="shared" si="19"/>
        <v>1</v>
      </c>
      <c r="M73" s="35" t="str">
        <f t="shared" si="34"/>
        <v/>
      </c>
      <c r="N73" s="3" t="str">
        <f t="shared" si="29"/>
        <v/>
      </c>
      <c r="O73" s="27" t="str">
        <f t="shared" si="30"/>
        <v/>
      </c>
      <c r="P73" s="3">
        <v>71</v>
      </c>
      <c r="Q73" s="3" t="e">
        <f t="shared" si="35"/>
        <v>#N/A</v>
      </c>
      <c r="R73" s="3" t="e">
        <f t="shared" si="36"/>
        <v>#N/A</v>
      </c>
      <c r="T73" s="46" t="str">
        <f t="shared" si="31"/>
        <v/>
      </c>
      <c r="U73" s="48" t="str">
        <f t="shared" si="32"/>
        <v/>
      </c>
      <c r="W73" s="56">
        <f t="shared" si="20"/>
        <v>0</v>
      </c>
      <c r="X73" s="57" t="str">
        <f t="shared" si="21"/>
        <v/>
      </c>
      <c r="Y73" s="58" t="str">
        <f t="shared" si="22"/>
        <v/>
      </c>
      <c r="AA73" s="62" t="str">
        <f t="shared" si="37"/>
        <v/>
      </c>
    </row>
    <row r="74" spans="1:27">
      <c r="A74" s="39" t="str">
        <f t="shared" si="23"/>
        <v/>
      </c>
      <c r="C74" s="82"/>
      <c r="D74" s="44" t="str">
        <f t="shared" si="24"/>
        <v/>
      </c>
      <c r="E74" s="30" t="str">
        <f t="shared" si="33"/>
        <v>00:00:00</v>
      </c>
      <c r="F74" s="36" t="str">
        <f t="shared" si="25"/>
        <v/>
      </c>
      <c r="G74" s="36">
        <f t="shared" si="26"/>
        <v>0</v>
      </c>
      <c r="H74" s="3" t="str">
        <f t="shared" si="27"/>
        <v/>
      </c>
      <c r="I74" s="3">
        <f t="shared" si="28"/>
        <v>0</v>
      </c>
      <c r="L74" s="35">
        <f t="shared" si="19"/>
        <v>1</v>
      </c>
      <c r="M74" s="35" t="str">
        <f t="shared" si="34"/>
        <v/>
      </c>
      <c r="N74" s="3" t="str">
        <f t="shared" si="29"/>
        <v/>
      </c>
      <c r="O74" s="27" t="str">
        <f t="shared" si="30"/>
        <v/>
      </c>
      <c r="P74" s="3">
        <v>72</v>
      </c>
      <c r="Q74" s="3" t="e">
        <f t="shared" si="35"/>
        <v>#N/A</v>
      </c>
      <c r="R74" s="3" t="e">
        <f t="shared" si="36"/>
        <v>#N/A</v>
      </c>
      <c r="T74" s="46" t="str">
        <f t="shared" si="31"/>
        <v/>
      </c>
      <c r="U74" s="48" t="str">
        <f t="shared" si="32"/>
        <v/>
      </c>
      <c r="W74" s="56">
        <f t="shared" si="20"/>
        <v>0</v>
      </c>
      <c r="X74" s="57" t="str">
        <f t="shared" si="21"/>
        <v/>
      </c>
      <c r="Y74" s="58" t="str">
        <f t="shared" si="22"/>
        <v/>
      </c>
      <c r="AA74" s="62" t="str">
        <f t="shared" si="37"/>
        <v/>
      </c>
    </row>
    <row r="75" spans="1:27">
      <c r="A75" s="39" t="str">
        <f t="shared" si="23"/>
        <v/>
      </c>
      <c r="C75" s="82"/>
      <c r="D75" s="44" t="str">
        <f t="shared" si="24"/>
        <v/>
      </c>
      <c r="E75" s="30" t="str">
        <f t="shared" si="33"/>
        <v>00:00:00</v>
      </c>
      <c r="F75" s="36" t="str">
        <f t="shared" si="25"/>
        <v/>
      </c>
      <c r="G75" s="36">
        <f t="shared" si="26"/>
        <v>0</v>
      </c>
      <c r="H75" s="3" t="str">
        <f t="shared" si="27"/>
        <v/>
      </c>
      <c r="I75" s="3">
        <f t="shared" si="28"/>
        <v>0</v>
      </c>
      <c r="L75" s="35">
        <f t="shared" si="19"/>
        <v>1</v>
      </c>
      <c r="M75" s="35" t="str">
        <f t="shared" si="34"/>
        <v/>
      </c>
      <c r="N75" s="3" t="str">
        <f t="shared" si="29"/>
        <v/>
      </c>
      <c r="O75" s="27" t="str">
        <f t="shared" si="30"/>
        <v/>
      </c>
      <c r="P75" s="3">
        <v>73</v>
      </c>
      <c r="Q75" s="3" t="e">
        <f t="shared" si="35"/>
        <v>#N/A</v>
      </c>
      <c r="R75" s="3" t="e">
        <f t="shared" si="36"/>
        <v>#N/A</v>
      </c>
      <c r="T75" s="46" t="str">
        <f t="shared" si="31"/>
        <v/>
      </c>
      <c r="U75" s="48" t="str">
        <f t="shared" si="32"/>
        <v/>
      </c>
      <c r="W75" s="56">
        <f t="shared" si="20"/>
        <v>0</v>
      </c>
      <c r="X75" s="57" t="str">
        <f t="shared" si="21"/>
        <v/>
      </c>
      <c r="Y75" s="58" t="str">
        <f t="shared" si="22"/>
        <v/>
      </c>
      <c r="AA75" s="62" t="str">
        <f t="shared" si="37"/>
        <v/>
      </c>
    </row>
    <row r="76" spans="1:27">
      <c r="A76" s="39" t="str">
        <f t="shared" si="23"/>
        <v/>
      </c>
      <c r="C76" s="82"/>
      <c r="D76" s="44" t="str">
        <f t="shared" si="24"/>
        <v/>
      </c>
      <c r="E76" s="30" t="str">
        <f t="shared" si="33"/>
        <v>00:00:00</v>
      </c>
      <c r="F76" s="36" t="str">
        <f t="shared" si="25"/>
        <v/>
      </c>
      <c r="G76" s="36">
        <f t="shared" si="26"/>
        <v>0</v>
      </c>
      <c r="H76" s="3" t="str">
        <f t="shared" si="27"/>
        <v/>
      </c>
      <c r="I76" s="3">
        <f t="shared" si="28"/>
        <v>0</v>
      </c>
      <c r="L76" s="35">
        <f t="shared" ref="L76:L139" si="38">IF(I75=1,L75+I75,L75)</f>
        <v>1</v>
      </c>
      <c r="M76" s="35" t="str">
        <f t="shared" si="34"/>
        <v/>
      </c>
      <c r="N76" s="3" t="str">
        <f t="shared" si="29"/>
        <v/>
      </c>
      <c r="O76" s="27" t="str">
        <f t="shared" si="30"/>
        <v/>
      </c>
      <c r="P76" s="3">
        <v>74</v>
      </c>
      <c r="Q76" s="3" t="e">
        <f t="shared" si="35"/>
        <v>#N/A</v>
      </c>
      <c r="R76" s="3" t="e">
        <f t="shared" si="36"/>
        <v>#N/A</v>
      </c>
      <c r="T76" s="46" t="str">
        <f t="shared" si="31"/>
        <v/>
      </c>
      <c r="U76" s="48" t="str">
        <f t="shared" si="32"/>
        <v/>
      </c>
      <c r="W76" s="56">
        <f t="shared" si="20"/>
        <v>0</v>
      </c>
      <c r="X76" s="57" t="str">
        <f t="shared" si="21"/>
        <v/>
      </c>
      <c r="Y76" s="58" t="str">
        <f t="shared" si="22"/>
        <v/>
      </c>
      <c r="AA76" s="62" t="str">
        <f t="shared" si="37"/>
        <v/>
      </c>
    </row>
    <row r="77" spans="1:27">
      <c r="A77" s="39" t="str">
        <f t="shared" si="23"/>
        <v/>
      </c>
      <c r="C77" s="82"/>
      <c r="D77" s="44" t="str">
        <f t="shared" si="24"/>
        <v/>
      </c>
      <c r="E77" s="30" t="str">
        <f t="shared" si="33"/>
        <v>00:00:00</v>
      </c>
      <c r="F77" s="36" t="str">
        <f t="shared" si="25"/>
        <v/>
      </c>
      <c r="G77" s="36">
        <f t="shared" si="26"/>
        <v>0</v>
      </c>
      <c r="H77" s="3" t="str">
        <f t="shared" si="27"/>
        <v/>
      </c>
      <c r="I77" s="3">
        <f t="shared" si="28"/>
        <v>0</v>
      </c>
      <c r="L77" s="35">
        <f t="shared" si="38"/>
        <v>1</v>
      </c>
      <c r="M77" s="35" t="str">
        <f t="shared" si="34"/>
        <v/>
      </c>
      <c r="N77" s="3" t="str">
        <f t="shared" si="29"/>
        <v/>
      </c>
      <c r="O77" s="27" t="str">
        <f t="shared" si="30"/>
        <v/>
      </c>
      <c r="P77" s="3">
        <v>75</v>
      </c>
      <c r="Q77" s="3" t="e">
        <f t="shared" si="35"/>
        <v>#N/A</v>
      </c>
      <c r="R77" s="3" t="e">
        <f t="shared" si="36"/>
        <v>#N/A</v>
      </c>
      <c r="T77" s="46" t="str">
        <f t="shared" si="31"/>
        <v/>
      </c>
      <c r="U77" s="48" t="str">
        <f t="shared" si="32"/>
        <v/>
      </c>
      <c r="W77" s="56">
        <f t="shared" si="20"/>
        <v>0</v>
      </c>
      <c r="X77" s="57" t="str">
        <f t="shared" si="21"/>
        <v/>
      </c>
      <c r="Y77" s="58" t="str">
        <f t="shared" si="22"/>
        <v/>
      </c>
      <c r="AA77" s="62" t="str">
        <f t="shared" si="37"/>
        <v/>
      </c>
    </row>
    <row r="78" spans="1:27">
      <c r="A78" s="39" t="str">
        <f t="shared" si="23"/>
        <v/>
      </c>
      <c r="C78" s="82"/>
      <c r="D78" s="44" t="str">
        <f t="shared" si="24"/>
        <v/>
      </c>
      <c r="E78" s="30" t="str">
        <f t="shared" si="33"/>
        <v>00:00:00</v>
      </c>
      <c r="F78" s="36" t="str">
        <f t="shared" si="25"/>
        <v/>
      </c>
      <c r="G78" s="36">
        <f t="shared" si="26"/>
        <v>0</v>
      </c>
      <c r="H78" s="3" t="str">
        <f t="shared" si="27"/>
        <v/>
      </c>
      <c r="I78" s="3">
        <f t="shared" si="28"/>
        <v>0</v>
      </c>
      <c r="L78" s="35">
        <f t="shared" si="38"/>
        <v>1</v>
      </c>
      <c r="M78" s="35" t="str">
        <f t="shared" si="34"/>
        <v/>
      </c>
      <c r="N78" s="3" t="str">
        <f t="shared" si="29"/>
        <v/>
      </c>
      <c r="O78" s="27" t="str">
        <f t="shared" si="30"/>
        <v/>
      </c>
      <c r="P78" s="3">
        <v>76</v>
      </c>
      <c r="Q78" s="3" t="e">
        <f t="shared" si="35"/>
        <v>#N/A</v>
      </c>
      <c r="R78" s="3" t="e">
        <f t="shared" si="36"/>
        <v>#N/A</v>
      </c>
      <c r="T78" s="46" t="str">
        <f t="shared" si="31"/>
        <v/>
      </c>
      <c r="U78" s="48" t="str">
        <f t="shared" si="32"/>
        <v/>
      </c>
      <c r="W78" s="56">
        <f t="shared" si="20"/>
        <v>0</v>
      </c>
      <c r="X78" s="57" t="str">
        <f t="shared" si="21"/>
        <v/>
      </c>
      <c r="Y78" s="58" t="str">
        <f t="shared" si="22"/>
        <v/>
      </c>
      <c r="AA78" s="62" t="str">
        <f t="shared" si="37"/>
        <v/>
      </c>
    </row>
    <row r="79" spans="1:27">
      <c r="A79" s="39" t="str">
        <f t="shared" si="23"/>
        <v/>
      </c>
      <c r="C79" s="82"/>
      <c r="D79" s="44" t="str">
        <f t="shared" si="24"/>
        <v/>
      </c>
      <c r="E79" s="30" t="str">
        <f t="shared" si="33"/>
        <v>00:00:00</v>
      </c>
      <c r="F79" s="36" t="str">
        <f t="shared" si="25"/>
        <v/>
      </c>
      <c r="G79" s="36">
        <f t="shared" si="26"/>
        <v>0</v>
      </c>
      <c r="H79" s="3" t="str">
        <f t="shared" si="27"/>
        <v/>
      </c>
      <c r="I79" s="3">
        <f t="shared" si="28"/>
        <v>0</v>
      </c>
      <c r="L79" s="35">
        <f t="shared" si="38"/>
        <v>1</v>
      </c>
      <c r="M79" s="35" t="str">
        <f t="shared" si="34"/>
        <v/>
      </c>
      <c r="N79" s="3" t="str">
        <f t="shared" si="29"/>
        <v/>
      </c>
      <c r="O79" s="27" t="str">
        <f t="shared" si="30"/>
        <v/>
      </c>
      <c r="P79" s="3">
        <v>77</v>
      </c>
      <c r="Q79" s="3" t="e">
        <f t="shared" si="35"/>
        <v>#N/A</v>
      </c>
      <c r="R79" s="3" t="e">
        <f t="shared" si="36"/>
        <v>#N/A</v>
      </c>
      <c r="T79" s="46" t="str">
        <f t="shared" si="31"/>
        <v/>
      </c>
      <c r="U79" s="48" t="str">
        <f t="shared" si="32"/>
        <v/>
      </c>
      <c r="W79" s="56">
        <f t="shared" si="20"/>
        <v>0</v>
      </c>
      <c r="X79" s="57" t="str">
        <f t="shared" si="21"/>
        <v/>
      </c>
      <c r="Y79" s="58" t="str">
        <f t="shared" si="22"/>
        <v/>
      </c>
      <c r="AA79" s="62" t="str">
        <f t="shared" si="37"/>
        <v/>
      </c>
    </row>
    <row r="80" spans="1:27">
      <c r="A80" s="39" t="str">
        <f t="shared" si="23"/>
        <v/>
      </c>
      <c r="C80" s="82"/>
      <c r="D80" s="44" t="str">
        <f t="shared" si="24"/>
        <v/>
      </c>
      <c r="E80" s="30" t="str">
        <f t="shared" si="33"/>
        <v>00:00:00</v>
      </c>
      <c r="F80" s="36" t="str">
        <f t="shared" si="25"/>
        <v/>
      </c>
      <c r="G80" s="36">
        <f t="shared" si="26"/>
        <v>0</v>
      </c>
      <c r="H80" s="3" t="str">
        <f t="shared" si="27"/>
        <v/>
      </c>
      <c r="I80" s="3">
        <f t="shared" si="28"/>
        <v>0</v>
      </c>
      <c r="L80" s="35">
        <f t="shared" si="38"/>
        <v>1</v>
      </c>
      <c r="M80" s="35" t="str">
        <f t="shared" si="34"/>
        <v/>
      </c>
      <c r="N80" s="3" t="str">
        <f t="shared" si="29"/>
        <v/>
      </c>
      <c r="O80" s="27" t="str">
        <f t="shared" si="30"/>
        <v/>
      </c>
      <c r="P80" s="3">
        <v>78</v>
      </c>
      <c r="Q80" s="3" t="e">
        <f t="shared" si="35"/>
        <v>#N/A</v>
      </c>
      <c r="R80" s="3" t="e">
        <f t="shared" si="36"/>
        <v>#N/A</v>
      </c>
      <c r="T80" s="46" t="str">
        <f t="shared" si="31"/>
        <v/>
      </c>
      <c r="U80" s="48" t="str">
        <f t="shared" si="32"/>
        <v/>
      </c>
      <c r="W80" s="56">
        <f t="shared" si="20"/>
        <v>0</v>
      </c>
      <c r="X80" s="57" t="str">
        <f t="shared" si="21"/>
        <v/>
      </c>
      <c r="Y80" s="58" t="str">
        <f t="shared" si="22"/>
        <v/>
      </c>
      <c r="AA80" s="62" t="str">
        <f t="shared" si="37"/>
        <v/>
      </c>
    </row>
    <row r="81" spans="1:27">
      <c r="A81" s="39" t="str">
        <f t="shared" si="23"/>
        <v/>
      </c>
      <c r="C81" s="82"/>
      <c r="D81" s="44" t="str">
        <f t="shared" si="24"/>
        <v/>
      </c>
      <c r="E81" s="30" t="str">
        <f t="shared" si="33"/>
        <v>00:00:00</v>
      </c>
      <c r="F81" s="36" t="str">
        <f t="shared" si="25"/>
        <v/>
      </c>
      <c r="G81" s="36">
        <f t="shared" si="26"/>
        <v>0</v>
      </c>
      <c r="H81" s="3" t="str">
        <f t="shared" si="27"/>
        <v/>
      </c>
      <c r="I81" s="3">
        <f t="shared" si="28"/>
        <v>0</v>
      </c>
      <c r="L81" s="35">
        <f t="shared" si="38"/>
        <v>1</v>
      </c>
      <c r="M81" s="35" t="str">
        <f t="shared" si="34"/>
        <v/>
      </c>
      <c r="N81" s="3" t="str">
        <f t="shared" si="29"/>
        <v/>
      </c>
      <c r="O81" s="27" t="str">
        <f t="shared" si="30"/>
        <v/>
      </c>
      <c r="P81" s="3">
        <v>79</v>
      </c>
      <c r="Q81" s="3" t="e">
        <f t="shared" si="35"/>
        <v>#N/A</v>
      </c>
      <c r="R81" s="3" t="e">
        <f t="shared" si="36"/>
        <v>#N/A</v>
      </c>
      <c r="T81" s="46" t="str">
        <f t="shared" si="31"/>
        <v/>
      </c>
      <c r="U81" s="48" t="str">
        <f t="shared" si="32"/>
        <v/>
      </c>
      <c r="W81" s="56">
        <f t="shared" si="20"/>
        <v>0</v>
      </c>
      <c r="X81" s="57" t="str">
        <f t="shared" si="21"/>
        <v/>
      </c>
      <c r="Y81" s="58" t="str">
        <f t="shared" si="22"/>
        <v/>
      </c>
      <c r="AA81" s="62" t="str">
        <f t="shared" si="37"/>
        <v/>
      </c>
    </row>
    <row r="82" spans="1:27">
      <c r="A82" s="39" t="str">
        <f t="shared" si="23"/>
        <v/>
      </c>
      <c r="C82" s="82"/>
      <c r="D82" s="44" t="str">
        <f t="shared" si="24"/>
        <v/>
      </c>
      <c r="E82" s="30" t="str">
        <f t="shared" si="33"/>
        <v>00:00:00</v>
      </c>
      <c r="F82" s="36" t="str">
        <f t="shared" si="25"/>
        <v/>
      </c>
      <c r="G82" s="36">
        <f t="shared" si="26"/>
        <v>0</v>
      </c>
      <c r="H82" s="3" t="str">
        <f t="shared" si="27"/>
        <v/>
      </c>
      <c r="I82" s="3">
        <f t="shared" si="28"/>
        <v>0</v>
      </c>
      <c r="L82" s="35">
        <f t="shared" si="38"/>
        <v>1</v>
      </c>
      <c r="M82" s="35" t="str">
        <f t="shared" si="34"/>
        <v/>
      </c>
      <c r="N82" s="3" t="str">
        <f t="shared" si="29"/>
        <v/>
      </c>
      <c r="O82" s="27" t="str">
        <f t="shared" si="30"/>
        <v/>
      </c>
      <c r="P82" s="3">
        <v>80</v>
      </c>
      <c r="Q82" s="3" t="e">
        <f t="shared" si="35"/>
        <v>#N/A</v>
      </c>
      <c r="R82" s="3" t="e">
        <f t="shared" si="36"/>
        <v>#N/A</v>
      </c>
      <c r="T82" s="46" t="str">
        <f t="shared" si="31"/>
        <v/>
      </c>
      <c r="U82" s="48" t="str">
        <f t="shared" si="32"/>
        <v/>
      </c>
      <c r="W82" s="56">
        <f t="shared" si="20"/>
        <v>0</v>
      </c>
      <c r="X82" s="57" t="str">
        <f t="shared" si="21"/>
        <v/>
      </c>
      <c r="Y82" s="58" t="str">
        <f t="shared" si="22"/>
        <v/>
      </c>
      <c r="AA82" s="62" t="str">
        <f t="shared" si="37"/>
        <v/>
      </c>
    </row>
    <row r="83" spans="1:27">
      <c r="A83" s="39" t="str">
        <f t="shared" si="23"/>
        <v/>
      </c>
      <c r="C83" s="82"/>
      <c r="D83" s="44" t="str">
        <f t="shared" si="24"/>
        <v/>
      </c>
      <c r="E83" s="30" t="str">
        <f t="shared" si="33"/>
        <v>00:00:00</v>
      </c>
      <c r="F83" s="36" t="str">
        <f t="shared" si="25"/>
        <v/>
      </c>
      <c r="G83" s="36">
        <f t="shared" si="26"/>
        <v>0</v>
      </c>
      <c r="H83" s="3" t="str">
        <f t="shared" si="27"/>
        <v/>
      </c>
      <c r="I83" s="3">
        <f t="shared" si="28"/>
        <v>0</v>
      </c>
      <c r="L83" s="35">
        <f t="shared" si="38"/>
        <v>1</v>
      </c>
      <c r="M83" s="35" t="str">
        <f t="shared" si="34"/>
        <v/>
      </c>
      <c r="N83" s="3" t="str">
        <f t="shared" si="29"/>
        <v/>
      </c>
      <c r="O83" s="27" t="str">
        <f t="shared" si="30"/>
        <v/>
      </c>
      <c r="P83" s="3">
        <v>81</v>
      </c>
      <c r="Q83" s="3" t="e">
        <f t="shared" si="35"/>
        <v>#N/A</v>
      </c>
      <c r="R83" s="3" t="e">
        <f t="shared" si="36"/>
        <v>#N/A</v>
      </c>
      <c r="T83" s="46" t="str">
        <f t="shared" si="31"/>
        <v/>
      </c>
      <c r="U83" s="48" t="str">
        <f t="shared" si="32"/>
        <v/>
      </c>
      <c r="W83" s="56">
        <f t="shared" si="20"/>
        <v>0</v>
      </c>
      <c r="X83" s="57" t="str">
        <f t="shared" si="21"/>
        <v/>
      </c>
      <c r="Y83" s="58" t="str">
        <f t="shared" si="22"/>
        <v/>
      </c>
      <c r="AA83" s="62" t="str">
        <f t="shared" si="37"/>
        <v/>
      </c>
    </row>
    <row r="84" spans="1:27">
      <c r="A84" s="39" t="str">
        <f t="shared" si="23"/>
        <v/>
      </c>
      <c r="C84" s="82"/>
      <c r="D84" s="44" t="str">
        <f t="shared" si="24"/>
        <v/>
      </c>
      <c r="E84" s="30" t="str">
        <f t="shared" si="33"/>
        <v>00:00:00</v>
      </c>
      <c r="F84" s="36" t="str">
        <f t="shared" si="25"/>
        <v/>
      </c>
      <c r="G84" s="36">
        <f t="shared" si="26"/>
        <v>0</v>
      </c>
      <c r="H84" s="3" t="str">
        <f t="shared" si="27"/>
        <v/>
      </c>
      <c r="I84" s="3">
        <f t="shared" si="28"/>
        <v>0</v>
      </c>
      <c r="L84" s="35">
        <f t="shared" si="38"/>
        <v>1</v>
      </c>
      <c r="M84" s="35" t="str">
        <f t="shared" si="34"/>
        <v/>
      </c>
      <c r="N84" s="3" t="str">
        <f t="shared" si="29"/>
        <v/>
      </c>
      <c r="O84" s="27" t="str">
        <f t="shared" si="30"/>
        <v/>
      </c>
      <c r="P84" s="3">
        <v>82</v>
      </c>
      <c r="Q84" s="3" t="e">
        <f t="shared" si="35"/>
        <v>#N/A</v>
      </c>
      <c r="R84" s="3" t="e">
        <f t="shared" si="36"/>
        <v>#N/A</v>
      </c>
      <c r="T84" s="46" t="str">
        <f t="shared" si="31"/>
        <v/>
      </c>
      <c r="U84" s="48" t="str">
        <f t="shared" si="32"/>
        <v/>
      </c>
      <c r="W84" s="56">
        <f t="shared" si="20"/>
        <v>0</v>
      </c>
      <c r="X84" s="57" t="str">
        <f t="shared" si="21"/>
        <v/>
      </c>
      <c r="Y84" s="58" t="str">
        <f t="shared" si="22"/>
        <v/>
      </c>
      <c r="AA84" s="62" t="str">
        <f t="shared" si="37"/>
        <v/>
      </c>
    </row>
    <row r="85" spans="1:27">
      <c r="A85" s="39" t="str">
        <f t="shared" si="23"/>
        <v/>
      </c>
      <c r="C85" s="82"/>
      <c r="D85" s="44" t="str">
        <f t="shared" si="24"/>
        <v/>
      </c>
      <c r="E85" s="30" t="str">
        <f t="shared" si="33"/>
        <v>00:00:00</v>
      </c>
      <c r="F85" s="36" t="str">
        <f t="shared" si="25"/>
        <v/>
      </c>
      <c r="G85" s="36">
        <f t="shared" si="26"/>
        <v>0</v>
      </c>
      <c r="H85" s="3" t="str">
        <f t="shared" si="27"/>
        <v/>
      </c>
      <c r="I85" s="3">
        <f t="shared" si="28"/>
        <v>0</v>
      </c>
      <c r="L85" s="35">
        <f t="shared" si="38"/>
        <v>1</v>
      </c>
      <c r="M85" s="35" t="str">
        <f t="shared" si="34"/>
        <v/>
      </c>
      <c r="N85" s="3" t="str">
        <f t="shared" si="29"/>
        <v/>
      </c>
      <c r="O85" s="27" t="str">
        <f t="shared" si="30"/>
        <v/>
      </c>
      <c r="P85" s="3">
        <v>83</v>
      </c>
      <c r="Q85" s="3" t="e">
        <f t="shared" si="35"/>
        <v>#N/A</v>
      </c>
      <c r="R85" s="3" t="e">
        <f t="shared" si="36"/>
        <v>#N/A</v>
      </c>
      <c r="T85" s="46" t="str">
        <f t="shared" si="31"/>
        <v/>
      </c>
      <c r="U85" s="48" t="str">
        <f t="shared" si="32"/>
        <v/>
      </c>
      <c r="W85" s="56">
        <f t="shared" si="20"/>
        <v>0</v>
      </c>
      <c r="X85" s="57" t="str">
        <f t="shared" si="21"/>
        <v/>
      </c>
      <c r="Y85" s="58" t="str">
        <f t="shared" si="22"/>
        <v/>
      </c>
      <c r="AA85" s="62" t="str">
        <f t="shared" si="37"/>
        <v/>
      </c>
    </row>
    <row r="86" spans="1:27">
      <c r="A86" s="39" t="str">
        <f t="shared" si="23"/>
        <v/>
      </c>
      <c r="C86" s="82"/>
      <c r="D86" s="44" t="str">
        <f t="shared" si="24"/>
        <v/>
      </c>
      <c r="E86" s="30" t="str">
        <f t="shared" si="33"/>
        <v>00:00:00</v>
      </c>
      <c r="F86" s="36" t="str">
        <f t="shared" si="25"/>
        <v/>
      </c>
      <c r="G86" s="36">
        <f t="shared" si="26"/>
        <v>0</v>
      </c>
      <c r="H86" s="3" t="str">
        <f t="shared" si="27"/>
        <v/>
      </c>
      <c r="I86" s="3">
        <f t="shared" si="28"/>
        <v>0</v>
      </c>
      <c r="L86" s="35">
        <f t="shared" si="38"/>
        <v>1</v>
      </c>
      <c r="M86" s="35" t="str">
        <f t="shared" si="34"/>
        <v/>
      </c>
      <c r="N86" s="3" t="str">
        <f t="shared" si="29"/>
        <v/>
      </c>
      <c r="O86" s="27" t="str">
        <f t="shared" si="30"/>
        <v/>
      </c>
      <c r="P86" s="3">
        <v>84</v>
      </c>
      <c r="Q86" s="3" t="e">
        <f t="shared" si="35"/>
        <v>#N/A</v>
      </c>
      <c r="R86" s="3" t="e">
        <f t="shared" si="36"/>
        <v>#N/A</v>
      </c>
      <c r="T86" s="46" t="str">
        <f t="shared" si="31"/>
        <v/>
      </c>
      <c r="U86" s="48" t="str">
        <f t="shared" si="32"/>
        <v/>
      </c>
      <c r="W86" s="56">
        <f t="shared" si="20"/>
        <v>0</v>
      </c>
      <c r="X86" s="57" t="str">
        <f t="shared" si="21"/>
        <v/>
      </c>
      <c r="Y86" s="58" t="str">
        <f t="shared" si="22"/>
        <v/>
      </c>
      <c r="AA86" s="62" t="str">
        <f t="shared" si="37"/>
        <v/>
      </c>
    </row>
    <row r="87" spans="1:27">
      <c r="A87" s="39" t="str">
        <f t="shared" si="23"/>
        <v/>
      </c>
      <c r="C87" s="82"/>
      <c r="D87" s="44" t="str">
        <f t="shared" si="24"/>
        <v/>
      </c>
      <c r="E87" s="30" t="str">
        <f t="shared" si="33"/>
        <v>00:00:00</v>
      </c>
      <c r="F87" s="36" t="str">
        <f t="shared" si="25"/>
        <v/>
      </c>
      <c r="G87" s="36">
        <f t="shared" si="26"/>
        <v>0</v>
      </c>
      <c r="H87" s="3" t="str">
        <f t="shared" si="27"/>
        <v/>
      </c>
      <c r="I87" s="3">
        <f t="shared" si="28"/>
        <v>0</v>
      </c>
      <c r="L87" s="35">
        <f t="shared" si="38"/>
        <v>1</v>
      </c>
      <c r="M87" s="35" t="str">
        <f t="shared" si="34"/>
        <v/>
      </c>
      <c r="N87" s="3" t="str">
        <f t="shared" si="29"/>
        <v/>
      </c>
      <c r="O87" s="27" t="str">
        <f t="shared" si="30"/>
        <v/>
      </c>
      <c r="P87" s="3">
        <v>85</v>
      </c>
      <c r="Q87" s="3" t="e">
        <f t="shared" si="35"/>
        <v>#N/A</v>
      </c>
      <c r="R87" s="3" t="e">
        <f t="shared" si="36"/>
        <v>#N/A</v>
      </c>
      <c r="T87" s="46" t="str">
        <f t="shared" si="31"/>
        <v/>
      </c>
      <c r="U87" s="48" t="str">
        <f t="shared" si="32"/>
        <v/>
      </c>
      <c r="W87" s="56">
        <f t="shared" si="20"/>
        <v>0</v>
      </c>
      <c r="X87" s="57" t="str">
        <f t="shared" si="21"/>
        <v/>
      </c>
      <c r="Y87" s="58" t="str">
        <f t="shared" si="22"/>
        <v/>
      </c>
      <c r="AA87" s="62" t="str">
        <f t="shared" si="37"/>
        <v/>
      </c>
    </row>
    <row r="88" spans="1:27">
      <c r="A88" s="39" t="str">
        <f t="shared" si="23"/>
        <v/>
      </c>
      <c r="C88" s="82"/>
      <c r="D88" s="44" t="str">
        <f t="shared" si="24"/>
        <v/>
      </c>
      <c r="E88" s="30" t="str">
        <f t="shared" si="33"/>
        <v>00:00:00</v>
      </c>
      <c r="F88" s="36" t="str">
        <f t="shared" si="25"/>
        <v/>
      </c>
      <c r="G88" s="36">
        <f t="shared" si="26"/>
        <v>0</v>
      </c>
      <c r="H88" s="3" t="str">
        <f t="shared" si="27"/>
        <v/>
      </c>
      <c r="I88" s="3">
        <f t="shared" si="28"/>
        <v>0</v>
      </c>
      <c r="L88" s="35">
        <f t="shared" si="38"/>
        <v>1</v>
      </c>
      <c r="M88" s="35" t="str">
        <f t="shared" si="34"/>
        <v/>
      </c>
      <c r="N88" s="3" t="str">
        <f t="shared" si="29"/>
        <v/>
      </c>
      <c r="O88" s="27" t="str">
        <f t="shared" si="30"/>
        <v/>
      </c>
      <c r="P88" s="3">
        <v>86</v>
      </c>
      <c r="Q88" s="3" t="e">
        <f t="shared" si="35"/>
        <v>#N/A</v>
      </c>
      <c r="R88" s="3" t="e">
        <f t="shared" si="36"/>
        <v>#N/A</v>
      </c>
      <c r="T88" s="46" t="str">
        <f t="shared" si="31"/>
        <v/>
      </c>
      <c r="U88" s="48" t="str">
        <f t="shared" si="32"/>
        <v/>
      </c>
      <c r="W88" s="56">
        <f t="shared" si="20"/>
        <v>0</v>
      </c>
      <c r="X88" s="57" t="str">
        <f t="shared" si="21"/>
        <v/>
      </c>
      <c r="Y88" s="58" t="str">
        <f t="shared" si="22"/>
        <v/>
      </c>
      <c r="AA88" s="62" t="str">
        <f t="shared" si="37"/>
        <v/>
      </c>
    </row>
    <row r="89" spans="1:27">
      <c r="A89" s="39" t="str">
        <f t="shared" si="23"/>
        <v/>
      </c>
      <c r="C89" s="82"/>
      <c r="D89" s="44" t="str">
        <f t="shared" si="24"/>
        <v/>
      </c>
      <c r="E89" s="30" t="str">
        <f t="shared" si="33"/>
        <v>00:00:00</v>
      </c>
      <c r="F89" s="36" t="str">
        <f t="shared" si="25"/>
        <v/>
      </c>
      <c r="G89" s="36">
        <f t="shared" si="26"/>
        <v>0</v>
      </c>
      <c r="H89" s="3" t="str">
        <f t="shared" si="27"/>
        <v/>
      </c>
      <c r="I89" s="3">
        <f t="shared" si="28"/>
        <v>0</v>
      </c>
      <c r="L89" s="35">
        <f t="shared" si="38"/>
        <v>1</v>
      </c>
      <c r="M89" s="35" t="str">
        <f t="shared" si="34"/>
        <v/>
      </c>
      <c r="N89" s="3" t="str">
        <f t="shared" si="29"/>
        <v/>
      </c>
      <c r="O89" s="27" t="str">
        <f t="shared" si="30"/>
        <v/>
      </c>
      <c r="P89" s="3">
        <v>87</v>
      </c>
      <c r="Q89" s="3" t="e">
        <f t="shared" si="35"/>
        <v>#N/A</v>
      </c>
      <c r="R89" s="3" t="e">
        <f t="shared" si="36"/>
        <v>#N/A</v>
      </c>
      <c r="T89" s="46" t="str">
        <f t="shared" si="31"/>
        <v/>
      </c>
      <c r="U89" s="48" t="str">
        <f t="shared" si="32"/>
        <v/>
      </c>
      <c r="W89" s="56">
        <f t="shared" si="20"/>
        <v>0</v>
      </c>
      <c r="X89" s="57" t="str">
        <f t="shared" si="21"/>
        <v/>
      </c>
      <c r="Y89" s="58" t="str">
        <f t="shared" si="22"/>
        <v/>
      </c>
      <c r="AA89" s="62" t="str">
        <f t="shared" si="37"/>
        <v/>
      </c>
    </row>
    <row r="90" spans="1:27">
      <c r="A90" s="39" t="str">
        <f t="shared" si="23"/>
        <v/>
      </c>
      <c r="C90" s="82"/>
      <c r="D90" s="44" t="str">
        <f t="shared" si="24"/>
        <v/>
      </c>
      <c r="E90" s="30" t="str">
        <f t="shared" si="33"/>
        <v>00:00:00</v>
      </c>
      <c r="F90" s="36" t="str">
        <f t="shared" si="25"/>
        <v/>
      </c>
      <c r="G90" s="36">
        <f t="shared" si="26"/>
        <v>0</v>
      </c>
      <c r="H90" s="3" t="str">
        <f t="shared" si="27"/>
        <v/>
      </c>
      <c r="I90" s="3">
        <f t="shared" si="28"/>
        <v>0</v>
      </c>
      <c r="L90" s="35">
        <f t="shared" si="38"/>
        <v>1</v>
      </c>
      <c r="M90" s="35" t="str">
        <f t="shared" si="34"/>
        <v/>
      </c>
      <c r="N90" s="3" t="str">
        <f t="shared" si="29"/>
        <v/>
      </c>
      <c r="O90" s="27" t="str">
        <f t="shared" si="30"/>
        <v/>
      </c>
      <c r="P90" s="3">
        <v>88</v>
      </c>
      <c r="Q90" s="3" t="e">
        <f t="shared" si="35"/>
        <v>#N/A</v>
      </c>
      <c r="R90" s="3" t="e">
        <f t="shared" si="36"/>
        <v>#N/A</v>
      </c>
      <c r="T90" s="46" t="str">
        <f t="shared" si="31"/>
        <v/>
      </c>
      <c r="U90" s="48" t="str">
        <f t="shared" si="32"/>
        <v/>
      </c>
      <c r="W90" s="56">
        <f t="shared" si="20"/>
        <v>0</v>
      </c>
      <c r="X90" s="57" t="str">
        <f t="shared" si="21"/>
        <v/>
      </c>
      <c r="Y90" s="58" t="str">
        <f t="shared" si="22"/>
        <v/>
      </c>
      <c r="AA90" s="62" t="str">
        <f t="shared" si="37"/>
        <v/>
      </c>
    </row>
    <row r="91" spans="1:27">
      <c r="A91" s="39" t="str">
        <f t="shared" si="23"/>
        <v/>
      </c>
      <c r="C91" s="82"/>
      <c r="D91" s="44" t="str">
        <f t="shared" si="24"/>
        <v/>
      </c>
      <c r="E91" s="30" t="str">
        <f t="shared" si="33"/>
        <v>00:00:00</v>
      </c>
      <c r="F91" s="36" t="str">
        <f t="shared" si="25"/>
        <v/>
      </c>
      <c r="G91" s="36">
        <f t="shared" si="26"/>
        <v>0</v>
      </c>
      <c r="H91" s="3" t="str">
        <f t="shared" si="27"/>
        <v/>
      </c>
      <c r="I91" s="3">
        <f t="shared" si="28"/>
        <v>0</v>
      </c>
      <c r="L91" s="35">
        <f t="shared" si="38"/>
        <v>1</v>
      </c>
      <c r="M91" s="35" t="str">
        <f t="shared" si="34"/>
        <v/>
      </c>
      <c r="N91" s="3" t="str">
        <f t="shared" si="29"/>
        <v/>
      </c>
      <c r="O91" s="27" t="str">
        <f t="shared" si="30"/>
        <v/>
      </c>
      <c r="P91" s="3">
        <v>89</v>
      </c>
      <c r="Q91" s="3" t="e">
        <f t="shared" si="35"/>
        <v>#N/A</v>
      </c>
      <c r="R91" s="3" t="e">
        <f t="shared" si="36"/>
        <v>#N/A</v>
      </c>
      <c r="T91" s="46" t="str">
        <f t="shared" si="31"/>
        <v/>
      </c>
      <c r="U91" s="48" t="str">
        <f t="shared" si="32"/>
        <v/>
      </c>
      <c r="W91" s="56">
        <f t="shared" si="20"/>
        <v>0</v>
      </c>
      <c r="X91" s="57" t="str">
        <f t="shared" si="21"/>
        <v/>
      </c>
      <c r="Y91" s="58" t="str">
        <f t="shared" si="22"/>
        <v/>
      </c>
      <c r="AA91" s="62" t="str">
        <f t="shared" si="37"/>
        <v/>
      </c>
    </row>
    <row r="92" spans="1:27">
      <c r="A92" s="39" t="str">
        <f t="shared" si="23"/>
        <v/>
      </c>
      <c r="C92" s="82"/>
      <c r="D92" s="44" t="str">
        <f t="shared" si="24"/>
        <v/>
      </c>
      <c r="E92" s="30" t="str">
        <f t="shared" si="33"/>
        <v>00:00:00</v>
      </c>
      <c r="F92" s="36" t="str">
        <f t="shared" si="25"/>
        <v/>
      </c>
      <c r="G92" s="36">
        <f t="shared" si="26"/>
        <v>0</v>
      </c>
      <c r="H92" s="3" t="str">
        <f t="shared" si="27"/>
        <v/>
      </c>
      <c r="I92" s="3">
        <f t="shared" si="28"/>
        <v>0</v>
      </c>
      <c r="L92" s="35">
        <f t="shared" si="38"/>
        <v>1</v>
      </c>
      <c r="M92" s="35" t="str">
        <f t="shared" si="34"/>
        <v/>
      </c>
      <c r="N92" s="3" t="str">
        <f t="shared" si="29"/>
        <v/>
      </c>
      <c r="O92" s="27" t="str">
        <f t="shared" si="30"/>
        <v/>
      </c>
      <c r="P92" s="3">
        <v>90</v>
      </c>
      <c r="Q92" s="3" t="e">
        <f t="shared" si="35"/>
        <v>#N/A</v>
      </c>
      <c r="R92" s="3" t="e">
        <f t="shared" si="36"/>
        <v>#N/A</v>
      </c>
      <c r="T92" s="46" t="str">
        <f t="shared" si="31"/>
        <v/>
      </c>
      <c r="U92" s="48" t="str">
        <f t="shared" si="32"/>
        <v/>
      </c>
      <c r="W92" s="56">
        <f t="shared" si="20"/>
        <v>0</v>
      </c>
      <c r="X92" s="57" t="str">
        <f t="shared" si="21"/>
        <v/>
      </c>
      <c r="Y92" s="58" t="str">
        <f t="shared" si="22"/>
        <v/>
      </c>
      <c r="AA92" s="62" t="str">
        <f t="shared" si="37"/>
        <v/>
      </c>
    </row>
    <row r="93" spans="1:27">
      <c r="A93" s="39" t="str">
        <f t="shared" si="23"/>
        <v/>
      </c>
      <c r="C93" s="82"/>
      <c r="D93" s="44" t="str">
        <f t="shared" si="24"/>
        <v/>
      </c>
      <c r="E93" s="30" t="str">
        <f t="shared" si="33"/>
        <v>00:00:00</v>
      </c>
      <c r="F93" s="36" t="str">
        <f t="shared" si="25"/>
        <v/>
      </c>
      <c r="G93" s="36">
        <f t="shared" si="26"/>
        <v>0</v>
      </c>
      <c r="H93" s="3" t="str">
        <f t="shared" si="27"/>
        <v/>
      </c>
      <c r="I93" s="3">
        <f t="shared" si="28"/>
        <v>0</v>
      </c>
      <c r="L93" s="35">
        <f t="shared" si="38"/>
        <v>1</v>
      </c>
      <c r="M93" s="35" t="str">
        <f t="shared" si="34"/>
        <v/>
      </c>
      <c r="N93" s="3" t="str">
        <f t="shared" si="29"/>
        <v/>
      </c>
      <c r="O93" s="27" t="str">
        <f t="shared" si="30"/>
        <v/>
      </c>
      <c r="P93" s="3">
        <v>91</v>
      </c>
      <c r="Q93" s="3" t="e">
        <f t="shared" si="35"/>
        <v>#N/A</v>
      </c>
      <c r="R93" s="3" t="e">
        <f t="shared" si="36"/>
        <v>#N/A</v>
      </c>
      <c r="T93" s="46" t="str">
        <f t="shared" si="31"/>
        <v/>
      </c>
      <c r="U93" s="48" t="str">
        <f t="shared" si="32"/>
        <v/>
      </c>
      <c r="W93" s="56">
        <f t="shared" si="20"/>
        <v>0</v>
      </c>
      <c r="X93" s="57" t="str">
        <f t="shared" si="21"/>
        <v/>
      </c>
      <c r="Y93" s="58" t="str">
        <f t="shared" si="22"/>
        <v/>
      </c>
      <c r="AA93" s="62" t="str">
        <f t="shared" si="37"/>
        <v/>
      </c>
    </row>
    <row r="94" spans="1:27">
      <c r="A94" s="39" t="str">
        <f t="shared" si="23"/>
        <v/>
      </c>
      <c r="C94" s="82"/>
      <c r="D94" s="44" t="str">
        <f t="shared" si="24"/>
        <v/>
      </c>
      <c r="E94" s="30" t="str">
        <f t="shared" si="33"/>
        <v>00:00:00</v>
      </c>
      <c r="F94" s="36" t="str">
        <f t="shared" si="25"/>
        <v/>
      </c>
      <c r="G94" s="36">
        <f t="shared" si="26"/>
        <v>0</v>
      </c>
      <c r="H94" s="3" t="str">
        <f t="shared" si="27"/>
        <v/>
      </c>
      <c r="I94" s="3">
        <f t="shared" si="28"/>
        <v>0</v>
      </c>
      <c r="L94" s="35">
        <f t="shared" si="38"/>
        <v>1</v>
      </c>
      <c r="M94" s="35" t="str">
        <f t="shared" si="34"/>
        <v/>
      </c>
      <c r="N94" s="3" t="str">
        <f t="shared" si="29"/>
        <v/>
      </c>
      <c r="O94" s="27" t="str">
        <f t="shared" si="30"/>
        <v/>
      </c>
      <c r="P94" s="3">
        <v>92</v>
      </c>
      <c r="Q94" s="3" t="e">
        <f t="shared" si="35"/>
        <v>#N/A</v>
      </c>
      <c r="R94" s="3" t="e">
        <f t="shared" si="36"/>
        <v>#N/A</v>
      </c>
      <c r="T94" s="46" t="str">
        <f t="shared" si="31"/>
        <v/>
      </c>
      <c r="U94" s="48" t="str">
        <f t="shared" si="32"/>
        <v/>
      </c>
      <c r="W94" s="56">
        <f t="shared" si="20"/>
        <v>0</v>
      </c>
      <c r="X94" s="57" t="str">
        <f t="shared" si="21"/>
        <v/>
      </c>
      <c r="Y94" s="58" t="str">
        <f t="shared" si="22"/>
        <v/>
      </c>
      <c r="AA94" s="62" t="str">
        <f t="shared" si="37"/>
        <v/>
      </c>
    </row>
    <row r="95" spans="1:27">
      <c r="A95" s="39" t="str">
        <f t="shared" si="23"/>
        <v/>
      </c>
      <c r="C95" s="82"/>
      <c r="D95" s="44" t="str">
        <f t="shared" si="24"/>
        <v/>
      </c>
      <c r="E95" s="30" t="str">
        <f t="shared" si="33"/>
        <v>00:00:00</v>
      </c>
      <c r="F95" s="36" t="str">
        <f t="shared" si="25"/>
        <v/>
      </c>
      <c r="G95" s="36">
        <f t="shared" si="26"/>
        <v>0</v>
      </c>
      <c r="H95" s="3" t="str">
        <f t="shared" si="27"/>
        <v/>
      </c>
      <c r="I95" s="3">
        <f t="shared" si="28"/>
        <v>0</v>
      </c>
      <c r="L95" s="35">
        <f t="shared" si="38"/>
        <v>1</v>
      </c>
      <c r="M95" s="35" t="str">
        <f t="shared" si="34"/>
        <v/>
      </c>
      <c r="N95" s="3" t="str">
        <f t="shared" si="29"/>
        <v/>
      </c>
      <c r="O95" s="27" t="str">
        <f t="shared" si="30"/>
        <v/>
      </c>
      <c r="P95" s="3">
        <v>93</v>
      </c>
      <c r="Q95" s="3" t="e">
        <f t="shared" si="35"/>
        <v>#N/A</v>
      </c>
      <c r="R95" s="3" t="e">
        <f t="shared" si="36"/>
        <v>#N/A</v>
      </c>
      <c r="T95" s="46" t="str">
        <f t="shared" si="31"/>
        <v/>
      </c>
      <c r="U95" s="48" t="str">
        <f t="shared" si="32"/>
        <v/>
      </c>
      <c r="W95" s="56">
        <f t="shared" si="20"/>
        <v>0</v>
      </c>
      <c r="X95" s="57" t="str">
        <f t="shared" si="21"/>
        <v/>
      </c>
      <c r="Y95" s="58" t="str">
        <f t="shared" si="22"/>
        <v/>
      </c>
      <c r="AA95" s="62" t="str">
        <f t="shared" si="37"/>
        <v/>
      </c>
    </row>
    <row r="96" spans="1:27">
      <c r="A96" s="39" t="str">
        <f t="shared" si="23"/>
        <v/>
      </c>
      <c r="C96" s="82"/>
      <c r="D96" s="44" t="str">
        <f t="shared" si="24"/>
        <v/>
      </c>
      <c r="E96" s="30" t="str">
        <f t="shared" si="33"/>
        <v>00:00:00</v>
      </c>
      <c r="F96" s="36" t="str">
        <f t="shared" si="25"/>
        <v/>
      </c>
      <c r="G96" s="36">
        <f t="shared" si="26"/>
        <v>0</v>
      </c>
      <c r="H96" s="3" t="str">
        <f t="shared" si="27"/>
        <v/>
      </c>
      <c r="I96" s="3">
        <f t="shared" si="28"/>
        <v>0</v>
      </c>
      <c r="L96" s="35">
        <f t="shared" si="38"/>
        <v>1</v>
      </c>
      <c r="M96" s="35" t="str">
        <f t="shared" si="34"/>
        <v/>
      </c>
      <c r="N96" s="3" t="str">
        <f t="shared" si="29"/>
        <v/>
      </c>
      <c r="O96" s="27" t="str">
        <f t="shared" si="30"/>
        <v/>
      </c>
      <c r="P96" s="3">
        <v>94</v>
      </c>
      <c r="Q96" s="3" t="e">
        <f t="shared" si="35"/>
        <v>#N/A</v>
      </c>
      <c r="R96" s="3" t="e">
        <f t="shared" si="36"/>
        <v>#N/A</v>
      </c>
      <c r="T96" s="46" t="str">
        <f t="shared" si="31"/>
        <v/>
      </c>
      <c r="U96" s="48" t="str">
        <f t="shared" si="32"/>
        <v/>
      </c>
      <c r="W96" s="56">
        <f t="shared" si="20"/>
        <v>0</v>
      </c>
      <c r="X96" s="57" t="str">
        <f t="shared" si="21"/>
        <v/>
      </c>
      <c r="Y96" s="58" t="str">
        <f t="shared" si="22"/>
        <v/>
      </c>
      <c r="AA96" s="62" t="str">
        <f t="shared" si="37"/>
        <v/>
      </c>
    </row>
    <row r="97" spans="1:27">
      <c r="A97" s="39" t="str">
        <f t="shared" si="23"/>
        <v/>
      </c>
      <c r="C97" s="82"/>
      <c r="D97" s="44" t="str">
        <f t="shared" si="24"/>
        <v/>
      </c>
      <c r="E97" s="30" t="str">
        <f t="shared" si="33"/>
        <v>00:00:00</v>
      </c>
      <c r="F97" s="36" t="str">
        <f t="shared" si="25"/>
        <v/>
      </c>
      <c r="G97" s="36">
        <f t="shared" si="26"/>
        <v>0</v>
      </c>
      <c r="H97" s="3" t="str">
        <f t="shared" si="27"/>
        <v/>
      </c>
      <c r="I97" s="3">
        <f t="shared" si="28"/>
        <v>0</v>
      </c>
      <c r="L97" s="35">
        <f t="shared" si="38"/>
        <v>1</v>
      </c>
      <c r="M97" s="35" t="str">
        <f t="shared" si="34"/>
        <v/>
      </c>
      <c r="N97" s="3" t="str">
        <f t="shared" si="29"/>
        <v/>
      </c>
      <c r="O97" s="27" t="str">
        <f t="shared" si="30"/>
        <v/>
      </c>
      <c r="P97" s="3">
        <v>95</v>
      </c>
      <c r="Q97" s="3" t="e">
        <f t="shared" si="35"/>
        <v>#N/A</v>
      </c>
      <c r="R97" s="3" t="e">
        <f t="shared" si="36"/>
        <v>#N/A</v>
      </c>
      <c r="T97" s="46" t="str">
        <f t="shared" si="31"/>
        <v/>
      </c>
      <c r="U97" s="48" t="str">
        <f t="shared" si="32"/>
        <v/>
      </c>
      <c r="W97" s="56">
        <f t="shared" si="20"/>
        <v>0</v>
      </c>
      <c r="X97" s="57" t="str">
        <f t="shared" si="21"/>
        <v/>
      </c>
      <c r="Y97" s="58" t="str">
        <f t="shared" si="22"/>
        <v/>
      </c>
      <c r="AA97" s="62" t="str">
        <f t="shared" si="37"/>
        <v/>
      </c>
    </row>
    <row r="98" spans="1:27">
      <c r="A98" s="39" t="str">
        <f t="shared" si="23"/>
        <v/>
      </c>
      <c r="C98" s="82"/>
      <c r="D98" s="44" t="str">
        <f t="shared" si="24"/>
        <v/>
      </c>
      <c r="E98" s="30" t="str">
        <f t="shared" si="33"/>
        <v>00:00:00</v>
      </c>
      <c r="F98" s="36" t="str">
        <f t="shared" si="25"/>
        <v/>
      </c>
      <c r="G98" s="36">
        <f t="shared" si="26"/>
        <v>0</v>
      </c>
      <c r="H98" s="3" t="str">
        <f t="shared" si="27"/>
        <v/>
      </c>
      <c r="I98" s="3">
        <f t="shared" si="28"/>
        <v>0</v>
      </c>
      <c r="L98" s="35">
        <f t="shared" si="38"/>
        <v>1</v>
      </c>
      <c r="M98" s="35" t="str">
        <f t="shared" si="34"/>
        <v/>
      </c>
      <c r="N98" s="3" t="str">
        <f t="shared" si="29"/>
        <v/>
      </c>
      <c r="O98" s="27" t="str">
        <f t="shared" si="30"/>
        <v/>
      </c>
      <c r="P98" s="3">
        <v>96</v>
      </c>
      <c r="Q98" s="3" t="e">
        <f t="shared" si="35"/>
        <v>#N/A</v>
      </c>
      <c r="R98" s="3" t="e">
        <f t="shared" si="36"/>
        <v>#N/A</v>
      </c>
      <c r="T98" s="46" t="str">
        <f t="shared" si="31"/>
        <v/>
      </c>
      <c r="U98" s="48" t="str">
        <f t="shared" si="32"/>
        <v/>
      </c>
      <c r="W98" s="56">
        <f t="shared" si="20"/>
        <v>0</v>
      </c>
      <c r="X98" s="57" t="str">
        <f t="shared" si="21"/>
        <v/>
      </c>
      <c r="Y98" s="58" t="str">
        <f t="shared" si="22"/>
        <v/>
      </c>
      <c r="AA98" s="62" t="str">
        <f t="shared" si="37"/>
        <v/>
      </c>
    </row>
    <row r="99" spans="1:27">
      <c r="A99" s="39" t="str">
        <f t="shared" si="23"/>
        <v/>
      </c>
      <c r="C99" s="82"/>
      <c r="D99" s="44" t="str">
        <f t="shared" si="24"/>
        <v/>
      </c>
      <c r="E99" s="30" t="str">
        <f t="shared" si="33"/>
        <v>00:00:00</v>
      </c>
      <c r="F99" s="36" t="str">
        <f t="shared" si="25"/>
        <v/>
      </c>
      <c r="G99" s="36">
        <f t="shared" si="26"/>
        <v>0</v>
      </c>
      <c r="H99" s="3" t="str">
        <f t="shared" si="27"/>
        <v/>
      </c>
      <c r="I99" s="3">
        <f t="shared" si="28"/>
        <v>0</v>
      </c>
      <c r="L99" s="35">
        <f t="shared" si="38"/>
        <v>1</v>
      </c>
      <c r="M99" s="35" t="str">
        <f t="shared" si="34"/>
        <v/>
      </c>
      <c r="N99" s="3" t="str">
        <f t="shared" si="29"/>
        <v/>
      </c>
      <c r="O99" s="27" t="str">
        <f t="shared" si="30"/>
        <v/>
      </c>
      <c r="P99" s="3">
        <v>97</v>
      </c>
      <c r="Q99" s="3" t="e">
        <f t="shared" si="35"/>
        <v>#N/A</v>
      </c>
      <c r="R99" s="3" t="e">
        <f t="shared" si="36"/>
        <v>#N/A</v>
      </c>
      <c r="T99" s="46" t="str">
        <f t="shared" si="31"/>
        <v/>
      </c>
      <c r="U99" s="48" t="str">
        <f t="shared" si="32"/>
        <v/>
      </c>
      <c r="W99" s="56">
        <f t="shared" si="20"/>
        <v>0</v>
      </c>
      <c r="X99" s="57" t="str">
        <f t="shared" si="21"/>
        <v/>
      </c>
      <c r="Y99" s="58" t="str">
        <f t="shared" si="22"/>
        <v/>
      </c>
      <c r="AA99" s="62" t="str">
        <f t="shared" si="37"/>
        <v/>
      </c>
    </row>
    <row r="100" spans="1:27">
      <c r="A100" s="39" t="str">
        <f t="shared" si="23"/>
        <v/>
      </c>
      <c r="C100" s="82"/>
      <c r="D100" s="44" t="str">
        <f t="shared" si="24"/>
        <v/>
      </c>
      <c r="E100" s="30" t="str">
        <f t="shared" si="33"/>
        <v>00:00:00</v>
      </c>
      <c r="F100" s="36" t="str">
        <f t="shared" si="25"/>
        <v/>
      </c>
      <c r="G100" s="36">
        <f t="shared" si="26"/>
        <v>0</v>
      </c>
      <c r="H100" s="3" t="str">
        <f t="shared" si="27"/>
        <v/>
      </c>
      <c r="I100" s="3">
        <f t="shared" si="28"/>
        <v>0</v>
      </c>
      <c r="L100" s="35">
        <f t="shared" si="38"/>
        <v>1</v>
      </c>
      <c r="M100" s="35" t="str">
        <f t="shared" si="34"/>
        <v/>
      </c>
      <c r="N100" s="3" t="str">
        <f t="shared" si="29"/>
        <v/>
      </c>
      <c r="O100" s="27" t="str">
        <f t="shared" si="30"/>
        <v/>
      </c>
      <c r="P100" s="3">
        <v>98</v>
      </c>
      <c r="Q100" s="3" t="e">
        <f t="shared" si="35"/>
        <v>#N/A</v>
      </c>
      <c r="R100" s="3" t="e">
        <f t="shared" si="36"/>
        <v>#N/A</v>
      </c>
      <c r="T100" s="46" t="str">
        <f t="shared" si="31"/>
        <v/>
      </c>
      <c r="U100" s="48" t="str">
        <f t="shared" si="32"/>
        <v/>
      </c>
      <c r="W100" s="56">
        <f t="shared" si="20"/>
        <v>0</v>
      </c>
      <c r="X100" s="57" t="str">
        <f t="shared" si="21"/>
        <v/>
      </c>
      <c r="Y100" s="58" t="str">
        <f t="shared" si="22"/>
        <v/>
      </c>
      <c r="AA100" s="62" t="str">
        <f t="shared" si="37"/>
        <v/>
      </c>
    </row>
    <row r="101" spans="1:27">
      <c r="A101" s="39" t="str">
        <f t="shared" si="23"/>
        <v/>
      </c>
      <c r="C101" s="82"/>
      <c r="D101" s="44" t="str">
        <f t="shared" si="24"/>
        <v/>
      </c>
      <c r="E101" s="30" t="str">
        <f t="shared" si="33"/>
        <v>00:00:00</v>
      </c>
      <c r="F101" s="36" t="str">
        <f t="shared" si="25"/>
        <v/>
      </c>
      <c r="G101" s="36">
        <f t="shared" si="26"/>
        <v>0</v>
      </c>
      <c r="H101" s="3" t="str">
        <f t="shared" si="27"/>
        <v/>
      </c>
      <c r="I101" s="3">
        <f t="shared" si="28"/>
        <v>0</v>
      </c>
      <c r="L101" s="35">
        <f t="shared" si="38"/>
        <v>1</v>
      </c>
      <c r="M101" s="35" t="str">
        <f t="shared" si="34"/>
        <v/>
      </c>
      <c r="N101" s="3" t="str">
        <f t="shared" si="29"/>
        <v/>
      </c>
      <c r="O101" s="27" t="str">
        <f t="shared" si="30"/>
        <v/>
      </c>
      <c r="P101" s="3">
        <v>99</v>
      </c>
      <c r="Q101" s="3" t="e">
        <f t="shared" si="35"/>
        <v>#N/A</v>
      </c>
      <c r="R101" s="3" t="e">
        <f t="shared" si="36"/>
        <v>#N/A</v>
      </c>
      <c r="T101" s="46" t="str">
        <f t="shared" si="31"/>
        <v/>
      </c>
      <c r="U101" s="48" t="str">
        <f t="shared" si="32"/>
        <v/>
      </c>
      <c r="W101" s="56">
        <f t="shared" si="20"/>
        <v>0</v>
      </c>
      <c r="X101" s="57" t="str">
        <f t="shared" si="21"/>
        <v/>
      </c>
      <c r="Y101" s="58" t="str">
        <f t="shared" si="22"/>
        <v/>
      </c>
      <c r="AA101" s="62" t="str">
        <f t="shared" si="37"/>
        <v/>
      </c>
    </row>
    <row r="102" spans="1:27">
      <c r="A102" s="39" t="str">
        <f t="shared" si="23"/>
        <v/>
      </c>
      <c r="C102" s="82"/>
      <c r="D102" s="44" t="str">
        <f t="shared" si="24"/>
        <v/>
      </c>
      <c r="E102" s="30" t="str">
        <f t="shared" si="33"/>
        <v>00:00:00</v>
      </c>
      <c r="F102" s="36" t="str">
        <f t="shared" si="25"/>
        <v/>
      </c>
      <c r="G102" s="36">
        <f t="shared" si="26"/>
        <v>0</v>
      </c>
      <c r="H102" s="3" t="str">
        <f t="shared" si="27"/>
        <v/>
      </c>
      <c r="I102" s="3">
        <f t="shared" si="28"/>
        <v>0</v>
      </c>
      <c r="L102" s="35">
        <f t="shared" si="38"/>
        <v>1</v>
      </c>
      <c r="M102" s="35" t="str">
        <f t="shared" si="34"/>
        <v/>
      </c>
      <c r="N102" s="3" t="str">
        <f t="shared" si="29"/>
        <v/>
      </c>
      <c r="O102" s="27" t="str">
        <f t="shared" si="30"/>
        <v/>
      </c>
      <c r="P102" s="3">
        <v>100</v>
      </c>
      <c r="Q102" s="3" t="e">
        <f t="shared" si="35"/>
        <v>#N/A</v>
      </c>
      <c r="R102" s="3" t="e">
        <f t="shared" si="36"/>
        <v>#N/A</v>
      </c>
      <c r="T102" s="46" t="str">
        <f t="shared" si="31"/>
        <v/>
      </c>
      <c r="U102" s="48" t="str">
        <f t="shared" si="32"/>
        <v/>
      </c>
      <c r="W102" s="56">
        <f t="shared" si="20"/>
        <v>0</v>
      </c>
      <c r="X102" s="57" t="str">
        <f t="shared" si="21"/>
        <v/>
      </c>
      <c r="Y102" s="58" t="str">
        <f t="shared" si="22"/>
        <v/>
      </c>
      <c r="AA102" s="62" t="str">
        <f t="shared" si="37"/>
        <v/>
      </c>
    </row>
    <row r="103" spans="1:27">
      <c r="A103" s="39" t="str">
        <f t="shared" si="23"/>
        <v/>
      </c>
      <c r="C103" s="82"/>
      <c r="D103" s="44" t="str">
        <f t="shared" si="24"/>
        <v/>
      </c>
      <c r="E103" s="30" t="str">
        <f t="shared" si="33"/>
        <v>00:00:00</v>
      </c>
      <c r="F103" s="36" t="str">
        <f t="shared" si="25"/>
        <v/>
      </c>
      <c r="G103" s="36">
        <f t="shared" si="26"/>
        <v>0</v>
      </c>
      <c r="H103" s="3" t="str">
        <f t="shared" si="27"/>
        <v/>
      </c>
      <c r="I103" s="3">
        <f t="shared" si="28"/>
        <v>0</v>
      </c>
      <c r="L103" s="35">
        <f t="shared" si="38"/>
        <v>1</v>
      </c>
      <c r="M103" s="35" t="str">
        <f t="shared" si="34"/>
        <v/>
      </c>
      <c r="N103" s="3" t="str">
        <f t="shared" si="29"/>
        <v/>
      </c>
      <c r="O103" s="27" t="str">
        <f t="shared" si="30"/>
        <v/>
      </c>
      <c r="P103" s="3">
        <v>101</v>
      </c>
      <c r="Q103" s="3" t="e">
        <f t="shared" si="35"/>
        <v>#N/A</v>
      </c>
      <c r="R103" s="3" t="e">
        <f t="shared" si="36"/>
        <v>#N/A</v>
      </c>
      <c r="T103" s="46" t="str">
        <f t="shared" si="31"/>
        <v/>
      </c>
      <c r="U103" s="48" t="str">
        <f t="shared" si="32"/>
        <v/>
      </c>
      <c r="W103" s="56">
        <f t="shared" si="20"/>
        <v>0</v>
      </c>
      <c r="X103" s="57" t="str">
        <f t="shared" si="21"/>
        <v/>
      </c>
      <c r="Y103" s="58" t="str">
        <f t="shared" si="22"/>
        <v/>
      </c>
      <c r="AA103" s="62" t="str">
        <f t="shared" si="37"/>
        <v/>
      </c>
    </row>
    <row r="104" spans="1:27">
      <c r="A104" s="39" t="str">
        <f t="shared" si="23"/>
        <v/>
      </c>
      <c r="C104" s="82"/>
      <c r="D104" s="44" t="str">
        <f t="shared" si="24"/>
        <v/>
      </c>
      <c r="E104" s="30" t="str">
        <f t="shared" si="33"/>
        <v>00:00:00</v>
      </c>
      <c r="F104" s="36" t="str">
        <f t="shared" si="25"/>
        <v/>
      </c>
      <c r="G104" s="36">
        <f t="shared" si="26"/>
        <v>0</v>
      </c>
      <c r="H104" s="3" t="str">
        <f t="shared" si="27"/>
        <v/>
      </c>
      <c r="I104" s="3">
        <f t="shared" si="28"/>
        <v>0</v>
      </c>
      <c r="L104" s="35">
        <f t="shared" si="38"/>
        <v>1</v>
      </c>
      <c r="M104" s="35" t="str">
        <f t="shared" si="34"/>
        <v/>
      </c>
      <c r="N104" s="3" t="str">
        <f t="shared" si="29"/>
        <v/>
      </c>
      <c r="O104" s="27" t="str">
        <f t="shared" si="30"/>
        <v/>
      </c>
      <c r="P104" s="3">
        <v>102</v>
      </c>
      <c r="Q104" s="3" t="e">
        <f t="shared" si="35"/>
        <v>#N/A</v>
      </c>
      <c r="R104" s="3" t="e">
        <f t="shared" si="36"/>
        <v>#N/A</v>
      </c>
      <c r="T104" s="46" t="str">
        <f t="shared" si="31"/>
        <v/>
      </c>
      <c r="U104" s="48" t="str">
        <f t="shared" si="32"/>
        <v/>
      </c>
      <c r="W104" s="56">
        <f t="shared" si="20"/>
        <v>0</v>
      </c>
      <c r="X104" s="57" t="str">
        <f t="shared" si="21"/>
        <v/>
      </c>
      <c r="Y104" s="58" t="str">
        <f t="shared" si="22"/>
        <v/>
      </c>
      <c r="AA104" s="62" t="str">
        <f t="shared" si="37"/>
        <v/>
      </c>
    </row>
    <row r="105" spans="1:27">
      <c r="A105" s="39" t="str">
        <f t="shared" si="23"/>
        <v/>
      </c>
      <c r="C105" s="82"/>
      <c r="D105" s="44" t="str">
        <f t="shared" si="24"/>
        <v/>
      </c>
      <c r="E105" s="30" t="str">
        <f t="shared" si="33"/>
        <v>00:00:00</v>
      </c>
      <c r="F105" s="36" t="str">
        <f t="shared" si="25"/>
        <v/>
      </c>
      <c r="G105" s="36">
        <f t="shared" si="26"/>
        <v>0</v>
      </c>
      <c r="H105" s="3" t="str">
        <f t="shared" si="27"/>
        <v/>
      </c>
      <c r="I105" s="3">
        <f t="shared" si="28"/>
        <v>0</v>
      </c>
      <c r="L105" s="35">
        <f t="shared" si="38"/>
        <v>1</v>
      </c>
      <c r="M105" s="35" t="str">
        <f t="shared" si="34"/>
        <v/>
      </c>
      <c r="N105" s="3" t="str">
        <f t="shared" si="29"/>
        <v/>
      </c>
      <c r="O105" s="27" t="str">
        <f t="shared" si="30"/>
        <v/>
      </c>
      <c r="P105" s="3">
        <v>103</v>
      </c>
      <c r="Q105" s="3" t="e">
        <f t="shared" si="35"/>
        <v>#N/A</v>
      </c>
      <c r="R105" s="3" t="e">
        <f t="shared" si="36"/>
        <v>#N/A</v>
      </c>
      <c r="T105" s="46" t="str">
        <f t="shared" si="31"/>
        <v/>
      </c>
      <c r="U105" s="48" t="str">
        <f t="shared" si="32"/>
        <v/>
      </c>
      <c r="W105" s="56">
        <f t="shared" si="20"/>
        <v>0</v>
      </c>
      <c r="X105" s="57" t="str">
        <f t="shared" si="21"/>
        <v/>
      </c>
      <c r="Y105" s="58" t="str">
        <f t="shared" si="22"/>
        <v/>
      </c>
      <c r="AA105" s="62" t="str">
        <f t="shared" si="37"/>
        <v/>
      </c>
    </row>
    <row r="106" spans="1:27">
      <c r="A106" s="39" t="str">
        <f t="shared" si="23"/>
        <v/>
      </c>
      <c r="C106" s="82"/>
      <c r="D106" s="44" t="str">
        <f t="shared" si="24"/>
        <v/>
      </c>
      <c r="E106" s="30" t="str">
        <f t="shared" si="33"/>
        <v>00:00:00</v>
      </c>
      <c r="F106" s="36" t="str">
        <f t="shared" si="25"/>
        <v/>
      </c>
      <c r="G106" s="36">
        <f t="shared" si="26"/>
        <v>0</v>
      </c>
      <c r="H106" s="3" t="str">
        <f t="shared" si="27"/>
        <v/>
      </c>
      <c r="I106" s="3">
        <f t="shared" si="28"/>
        <v>0</v>
      </c>
      <c r="L106" s="35">
        <f t="shared" si="38"/>
        <v>1</v>
      </c>
      <c r="M106" s="35" t="str">
        <f t="shared" si="34"/>
        <v/>
      </c>
      <c r="N106" s="3" t="str">
        <f t="shared" si="29"/>
        <v/>
      </c>
      <c r="O106" s="27" t="str">
        <f t="shared" si="30"/>
        <v/>
      </c>
      <c r="P106" s="3">
        <v>104</v>
      </c>
      <c r="Q106" s="3" t="e">
        <f t="shared" si="35"/>
        <v>#N/A</v>
      </c>
      <c r="R106" s="3" t="e">
        <f t="shared" si="36"/>
        <v>#N/A</v>
      </c>
      <c r="T106" s="46" t="str">
        <f t="shared" si="31"/>
        <v/>
      </c>
      <c r="U106" s="48" t="str">
        <f t="shared" si="32"/>
        <v/>
      </c>
      <c r="W106" s="56">
        <f t="shared" si="20"/>
        <v>0</v>
      </c>
      <c r="X106" s="57" t="str">
        <f t="shared" si="21"/>
        <v/>
      </c>
      <c r="Y106" s="58" t="str">
        <f t="shared" si="22"/>
        <v/>
      </c>
      <c r="AA106" s="62" t="str">
        <f t="shared" si="37"/>
        <v/>
      </c>
    </row>
    <row r="107" spans="1:27">
      <c r="A107" s="39" t="str">
        <f t="shared" si="23"/>
        <v/>
      </c>
      <c r="C107" s="82"/>
      <c r="D107" s="44" t="str">
        <f t="shared" si="24"/>
        <v/>
      </c>
      <c r="E107" s="30" t="str">
        <f t="shared" si="33"/>
        <v>00:00:00</v>
      </c>
      <c r="F107" s="36" t="str">
        <f t="shared" si="25"/>
        <v/>
      </c>
      <c r="G107" s="36">
        <f t="shared" si="26"/>
        <v>0</v>
      </c>
      <c r="H107" s="3" t="str">
        <f t="shared" si="27"/>
        <v/>
      </c>
      <c r="I107" s="3">
        <f t="shared" si="28"/>
        <v>0</v>
      </c>
      <c r="L107" s="35">
        <f t="shared" si="38"/>
        <v>1</v>
      </c>
      <c r="M107" s="35" t="str">
        <f t="shared" si="34"/>
        <v/>
      </c>
      <c r="N107" s="3" t="str">
        <f t="shared" si="29"/>
        <v/>
      </c>
      <c r="O107" s="27" t="str">
        <f t="shared" si="30"/>
        <v/>
      </c>
      <c r="P107" s="3">
        <v>105</v>
      </c>
      <c r="Q107" s="3" t="e">
        <f t="shared" si="35"/>
        <v>#N/A</v>
      </c>
      <c r="R107" s="3" t="e">
        <f t="shared" si="36"/>
        <v>#N/A</v>
      </c>
      <c r="T107" s="46" t="str">
        <f t="shared" si="31"/>
        <v/>
      </c>
      <c r="U107" s="48" t="str">
        <f t="shared" si="32"/>
        <v/>
      </c>
      <c r="W107" s="56">
        <f t="shared" si="20"/>
        <v>0</v>
      </c>
      <c r="X107" s="57" t="str">
        <f t="shared" si="21"/>
        <v/>
      </c>
      <c r="Y107" s="58" t="str">
        <f t="shared" si="22"/>
        <v/>
      </c>
      <c r="AA107" s="62" t="str">
        <f t="shared" si="37"/>
        <v/>
      </c>
    </row>
    <row r="108" spans="1:27">
      <c r="C108" s="82"/>
      <c r="D108" s="44" t="str">
        <f t="shared" si="24"/>
        <v/>
      </c>
      <c r="E108" s="30" t="str">
        <f t="shared" si="33"/>
        <v>00:00:00</v>
      </c>
      <c r="F108" s="36" t="str">
        <f t="shared" si="25"/>
        <v/>
      </c>
      <c r="G108" s="36">
        <f t="shared" si="26"/>
        <v>0</v>
      </c>
      <c r="H108" s="3" t="str">
        <f t="shared" si="27"/>
        <v/>
      </c>
      <c r="I108" s="3">
        <f t="shared" si="28"/>
        <v>0</v>
      </c>
      <c r="L108" s="35">
        <f t="shared" si="38"/>
        <v>1</v>
      </c>
      <c r="M108" s="35" t="str">
        <f t="shared" si="34"/>
        <v/>
      </c>
      <c r="N108" s="3" t="str">
        <f t="shared" si="29"/>
        <v/>
      </c>
      <c r="O108" s="27" t="str">
        <f t="shared" si="30"/>
        <v/>
      </c>
      <c r="P108" s="3">
        <v>106</v>
      </c>
      <c r="Q108" s="3" t="e">
        <f t="shared" si="35"/>
        <v>#N/A</v>
      </c>
      <c r="R108" s="3" t="e">
        <f t="shared" si="36"/>
        <v>#N/A</v>
      </c>
      <c r="T108" s="46" t="str">
        <f t="shared" si="31"/>
        <v/>
      </c>
      <c r="U108" s="48" t="str">
        <f t="shared" si="32"/>
        <v/>
      </c>
      <c r="W108" s="56">
        <f t="shared" si="20"/>
        <v>0</v>
      </c>
      <c r="X108" s="57" t="str">
        <f t="shared" si="21"/>
        <v/>
      </c>
      <c r="Y108" s="58" t="str">
        <f t="shared" si="22"/>
        <v/>
      </c>
      <c r="AA108" s="62" t="str">
        <f t="shared" si="37"/>
        <v/>
      </c>
    </row>
    <row r="109" spans="1:27">
      <c r="C109" s="82"/>
      <c r="D109" s="44" t="str">
        <f t="shared" si="24"/>
        <v/>
      </c>
      <c r="E109" s="30" t="str">
        <f t="shared" si="33"/>
        <v>00:00:00</v>
      </c>
      <c r="F109" s="36" t="str">
        <f t="shared" si="25"/>
        <v/>
      </c>
      <c r="G109" s="36">
        <f t="shared" si="26"/>
        <v>0</v>
      </c>
      <c r="H109" s="3" t="str">
        <f t="shared" si="27"/>
        <v/>
      </c>
      <c r="I109" s="3">
        <f t="shared" si="28"/>
        <v>0</v>
      </c>
      <c r="L109" s="35">
        <f t="shared" si="38"/>
        <v>1</v>
      </c>
      <c r="M109" s="35" t="str">
        <f t="shared" si="34"/>
        <v/>
      </c>
      <c r="N109" s="3" t="str">
        <f t="shared" si="29"/>
        <v/>
      </c>
      <c r="O109" s="27" t="str">
        <f t="shared" si="30"/>
        <v/>
      </c>
      <c r="P109" s="3">
        <v>107</v>
      </c>
      <c r="Q109" s="3" t="e">
        <f t="shared" si="35"/>
        <v>#N/A</v>
      </c>
      <c r="R109" s="3" t="e">
        <f t="shared" si="36"/>
        <v>#N/A</v>
      </c>
      <c r="T109" s="46" t="str">
        <f t="shared" si="31"/>
        <v/>
      </c>
      <c r="U109" s="48" t="str">
        <f t="shared" si="32"/>
        <v/>
      </c>
      <c r="W109" s="56">
        <f t="shared" si="20"/>
        <v>0</v>
      </c>
      <c r="X109" s="57" t="str">
        <f t="shared" si="21"/>
        <v/>
      </c>
      <c r="Y109" s="58" t="str">
        <f t="shared" si="22"/>
        <v/>
      </c>
      <c r="AA109" s="62" t="str">
        <f t="shared" si="37"/>
        <v/>
      </c>
    </row>
    <row r="110" spans="1:27">
      <c r="C110" s="82"/>
      <c r="D110" s="44" t="str">
        <f t="shared" si="24"/>
        <v/>
      </c>
      <c r="E110" s="30" t="str">
        <f t="shared" si="33"/>
        <v>00:00:00</v>
      </c>
      <c r="F110" s="36" t="str">
        <f t="shared" si="25"/>
        <v/>
      </c>
      <c r="G110" s="36">
        <f t="shared" si="26"/>
        <v>0</v>
      </c>
      <c r="H110" s="3" t="str">
        <f t="shared" si="27"/>
        <v/>
      </c>
      <c r="I110" s="3">
        <f t="shared" si="28"/>
        <v>0</v>
      </c>
      <c r="L110" s="35">
        <f t="shared" si="38"/>
        <v>1</v>
      </c>
      <c r="M110" s="35" t="str">
        <f t="shared" si="34"/>
        <v/>
      </c>
      <c r="N110" s="3" t="str">
        <f t="shared" si="29"/>
        <v/>
      </c>
      <c r="O110" s="27" t="str">
        <f t="shared" si="30"/>
        <v/>
      </c>
      <c r="P110" s="3">
        <v>108</v>
      </c>
      <c r="Q110" s="3" t="e">
        <f t="shared" si="35"/>
        <v>#N/A</v>
      </c>
      <c r="R110" s="3" t="e">
        <f t="shared" si="36"/>
        <v>#N/A</v>
      </c>
      <c r="T110" s="46" t="str">
        <f t="shared" si="31"/>
        <v/>
      </c>
      <c r="U110" s="48" t="str">
        <f t="shared" si="32"/>
        <v/>
      </c>
      <c r="W110" s="56">
        <f t="shared" si="20"/>
        <v>0</v>
      </c>
      <c r="X110" s="57" t="str">
        <f t="shared" si="21"/>
        <v/>
      </c>
      <c r="Y110" s="58" t="str">
        <f t="shared" si="22"/>
        <v/>
      </c>
      <c r="AA110" s="62" t="str">
        <f t="shared" si="37"/>
        <v/>
      </c>
    </row>
    <row r="111" spans="1:27">
      <c r="C111" s="82"/>
      <c r="D111" s="44" t="str">
        <f t="shared" si="24"/>
        <v/>
      </c>
      <c r="E111" s="30" t="str">
        <f t="shared" si="33"/>
        <v>00:00:00</v>
      </c>
      <c r="F111" s="36" t="str">
        <f t="shared" si="25"/>
        <v/>
      </c>
      <c r="G111" s="36">
        <f t="shared" si="26"/>
        <v>0</v>
      </c>
      <c r="H111" s="3" t="str">
        <f t="shared" si="27"/>
        <v/>
      </c>
      <c r="I111" s="3">
        <f t="shared" si="28"/>
        <v>0</v>
      </c>
      <c r="L111" s="35">
        <f t="shared" si="38"/>
        <v>1</v>
      </c>
      <c r="M111" s="35" t="str">
        <f t="shared" si="34"/>
        <v/>
      </c>
      <c r="N111" s="3" t="str">
        <f t="shared" si="29"/>
        <v/>
      </c>
      <c r="O111" s="27" t="str">
        <f t="shared" si="30"/>
        <v/>
      </c>
      <c r="P111" s="3">
        <v>109</v>
      </c>
      <c r="Q111" s="3" t="e">
        <f t="shared" si="35"/>
        <v>#N/A</v>
      </c>
      <c r="R111" s="3" t="e">
        <f t="shared" si="36"/>
        <v>#N/A</v>
      </c>
      <c r="T111" s="46" t="str">
        <f t="shared" si="31"/>
        <v/>
      </c>
      <c r="U111" s="48" t="str">
        <f t="shared" si="32"/>
        <v/>
      </c>
      <c r="W111" s="56">
        <f t="shared" si="20"/>
        <v>0</v>
      </c>
      <c r="X111" s="57" t="str">
        <f t="shared" si="21"/>
        <v/>
      </c>
      <c r="Y111" s="58" t="str">
        <f t="shared" si="22"/>
        <v/>
      </c>
      <c r="AA111" s="62" t="str">
        <f t="shared" si="37"/>
        <v/>
      </c>
    </row>
    <row r="112" spans="1:27">
      <c r="C112" s="82"/>
      <c r="D112" s="44" t="str">
        <f t="shared" si="24"/>
        <v/>
      </c>
      <c r="E112" s="30" t="str">
        <f t="shared" si="33"/>
        <v>00:00:00</v>
      </c>
      <c r="F112" s="36" t="str">
        <f t="shared" si="25"/>
        <v/>
      </c>
      <c r="G112" s="36">
        <f t="shared" si="26"/>
        <v>0</v>
      </c>
      <c r="H112" s="3" t="str">
        <f t="shared" si="27"/>
        <v/>
      </c>
      <c r="I112" s="3">
        <f t="shared" si="28"/>
        <v>0</v>
      </c>
      <c r="L112" s="35">
        <f t="shared" si="38"/>
        <v>1</v>
      </c>
      <c r="M112" s="35" t="str">
        <f t="shared" si="34"/>
        <v/>
      </c>
      <c r="N112" s="3" t="str">
        <f t="shared" si="29"/>
        <v/>
      </c>
      <c r="O112" s="27" t="str">
        <f t="shared" si="30"/>
        <v/>
      </c>
      <c r="P112" s="3">
        <v>110</v>
      </c>
      <c r="Q112" s="3" t="e">
        <f t="shared" si="35"/>
        <v>#N/A</v>
      </c>
      <c r="R112" s="3" t="e">
        <f t="shared" si="36"/>
        <v>#N/A</v>
      </c>
      <c r="T112" s="46" t="str">
        <f t="shared" si="31"/>
        <v/>
      </c>
      <c r="U112" s="48" t="str">
        <f t="shared" si="32"/>
        <v/>
      </c>
      <c r="W112" s="56">
        <f t="shared" si="20"/>
        <v>0</v>
      </c>
      <c r="X112" s="57" t="str">
        <f t="shared" si="21"/>
        <v/>
      </c>
      <c r="Y112" s="58" t="str">
        <f t="shared" si="22"/>
        <v/>
      </c>
      <c r="AA112" s="62" t="str">
        <f t="shared" si="37"/>
        <v/>
      </c>
    </row>
    <row r="113" spans="3:27">
      <c r="C113" s="82"/>
      <c r="D113" s="44" t="str">
        <f t="shared" si="24"/>
        <v/>
      </c>
      <c r="E113" s="30" t="str">
        <f t="shared" si="33"/>
        <v>00:00:00</v>
      </c>
      <c r="F113" s="36" t="str">
        <f t="shared" si="25"/>
        <v/>
      </c>
      <c r="G113" s="36">
        <f t="shared" si="26"/>
        <v>0</v>
      </c>
      <c r="H113" s="3" t="str">
        <f t="shared" si="27"/>
        <v/>
      </c>
      <c r="I113" s="3">
        <f t="shared" si="28"/>
        <v>0</v>
      </c>
      <c r="L113" s="35">
        <f t="shared" si="38"/>
        <v>1</v>
      </c>
      <c r="M113" s="35" t="str">
        <f t="shared" si="34"/>
        <v/>
      </c>
      <c r="N113" s="3" t="str">
        <f t="shared" si="29"/>
        <v/>
      </c>
      <c r="O113" s="27" t="str">
        <f t="shared" si="30"/>
        <v/>
      </c>
      <c r="P113" s="3">
        <v>111</v>
      </c>
      <c r="Q113" s="3" t="e">
        <f t="shared" si="35"/>
        <v>#N/A</v>
      </c>
      <c r="R113" s="3" t="e">
        <f t="shared" si="36"/>
        <v>#N/A</v>
      </c>
      <c r="T113" s="46" t="str">
        <f t="shared" si="31"/>
        <v/>
      </c>
      <c r="U113" s="48" t="str">
        <f t="shared" si="32"/>
        <v/>
      </c>
      <c r="W113" s="56">
        <f t="shared" si="20"/>
        <v>0</v>
      </c>
      <c r="X113" s="57" t="str">
        <f t="shared" si="21"/>
        <v/>
      </c>
      <c r="Y113" s="58" t="str">
        <f t="shared" si="22"/>
        <v/>
      </c>
      <c r="AA113" s="62" t="str">
        <f t="shared" si="37"/>
        <v/>
      </c>
    </row>
    <row r="114" spans="3:27">
      <c r="C114" s="82"/>
      <c r="D114" s="44" t="str">
        <f t="shared" si="24"/>
        <v/>
      </c>
      <c r="E114" s="30" t="str">
        <f t="shared" si="33"/>
        <v>00:00:00</v>
      </c>
      <c r="F114" s="36" t="str">
        <f t="shared" si="25"/>
        <v/>
      </c>
      <c r="G114" s="36">
        <f t="shared" si="26"/>
        <v>0</v>
      </c>
      <c r="H114" s="3" t="str">
        <f t="shared" si="27"/>
        <v/>
      </c>
      <c r="I114" s="3">
        <f t="shared" si="28"/>
        <v>0</v>
      </c>
      <c r="L114" s="35">
        <f t="shared" si="38"/>
        <v>1</v>
      </c>
      <c r="M114" s="35" t="str">
        <f t="shared" si="34"/>
        <v/>
      </c>
      <c r="N114" s="3" t="str">
        <f t="shared" si="29"/>
        <v/>
      </c>
      <c r="O114" s="27" t="str">
        <f t="shared" si="30"/>
        <v/>
      </c>
      <c r="P114" s="3">
        <v>112</v>
      </c>
      <c r="Q114" s="3" t="e">
        <f t="shared" si="35"/>
        <v>#N/A</v>
      </c>
      <c r="R114" s="3" t="e">
        <f t="shared" si="36"/>
        <v>#N/A</v>
      </c>
      <c r="T114" s="46" t="str">
        <f t="shared" si="31"/>
        <v/>
      </c>
      <c r="U114" s="48" t="str">
        <f t="shared" si="32"/>
        <v/>
      </c>
      <c r="W114" s="56">
        <f t="shared" si="20"/>
        <v>0</v>
      </c>
      <c r="X114" s="57" t="str">
        <f t="shared" si="21"/>
        <v/>
      </c>
      <c r="Y114" s="58" t="str">
        <f t="shared" si="22"/>
        <v/>
      </c>
      <c r="AA114" s="62" t="str">
        <f t="shared" si="37"/>
        <v/>
      </c>
    </row>
    <row r="115" spans="3:27">
      <c r="C115" s="82"/>
      <c r="D115" s="44" t="str">
        <f t="shared" si="24"/>
        <v/>
      </c>
      <c r="E115" s="30" t="str">
        <f t="shared" si="33"/>
        <v>00:00:00</v>
      </c>
      <c r="F115" s="36" t="str">
        <f t="shared" si="25"/>
        <v/>
      </c>
      <c r="G115" s="36">
        <f t="shared" si="26"/>
        <v>0</v>
      </c>
      <c r="H115" s="3" t="str">
        <f t="shared" si="27"/>
        <v/>
      </c>
      <c r="I115" s="3">
        <f t="shared" si="28"/>
        <v>0</v>
      </c>
      <c r="L115" s="35">
        <f t="shared" si="38"/>
        <v>1</v>
      </c>
      <c r="M115" s="35" t="str">
        <f t="shared" si="34"/>
        <v/>
      </c>
      <c r="N115" s="3" t="str">
        <f t="shared" si="29"/>
        <v/>
      </c>
      <c r="O115" s="27" t="str">
        <f t="shared" si="30"/>
        <v/>
      </c>
      <c r="P115" s="3">
        <v>113</v>
      </c>
      <c r="Q115" s="3" t="e">
        <f t="shared" si="35"/>
        <v>#N/A</v>
      </c>
      <c r="R115" s="3" t="e">
        <f t="shared" si="36"/>
        <v>#N/A</v>
      </c>
      <c r="T115" s="46" t="str">
        <f t="shared" si="31"/>
        <v/>
      </c>
      <c r="U115" s="48" t="str">
        <f t="shared" si="32"/>
        <v/>
      </c>
      <c r="W115" s="56">
        <f t="shared" si="20"/>
        <v>0</v>
      </c>
      <c r="X115" s="57" t="str">
        <f t="shared" si="21"/>
        <v/>
      </c>
      <c r="Y115" s="58" t="str">
        <f t="shared" si="22"/>
        <v/>
      </c>
      <c r="AA115" s="62" t="str">
        <f t="shared" si="37"/>
        <v/>
      </c>
    </row>
    <row r="116" spans="3:27">
      <c r="C116" s="82"/>
      <c r="D116" s="44" t="str">
        <f t="shared" si="24"/>
        <v/>
      </c>
      <c r="E116" s="30" t="str">
        <f t="shared" si="33"/>
        <v>00:00:00</v>
      </c>
      <c r="F116" s="36" t="str">
        <f t="shared" si="25"/>
        <v/>
      </c>
      <c r="G116" s="36">
        <f t="shared" si="26"/>
        <v>0</v>
      </c>
      <c r="H116" s="3" t="str">
        <f t="shared" si="27"/>
        <v/>
      </c>
      <c r="I116" s="3">
        <f t="shared" si="28"/>
        <v>0</v>
      </c>
      <c r="L116" s="35">
        <f t="shared" si="38"/>
        <v>1</v>
      </c>
      <c r="M116" s="35" t="str">
        <f t="shared" si="34"/>
        <v/>
      </c>
      <c r="N116" s="3" t="str">
        <f t="shared" si="29"/>
        <v/>
      </c>
      <c r="O116" s="27" t="str">
        <f t="shared" si="30"/>
        <v/>
      </c>
      <c r="P116" s="3">
        <v>114</v>
      </c>
      <c r="Q116" s="3" t="e">
        <f t="shared" si="35"/>
        <v>#N/A</v>
      </c>
      <c r="R116" s="3" t="e">
        <f t="shared" si="36"/>
        <v>#N/A</v>
      </c>
      <c r="T116" s="46" t="str">
        <f t="shared" si="31"/>
        <v/>
      </c>
      <c r="U116" s="48" t="str">
        <f t="shared" si="32"/>
        <v/>
      </c>
      <c r="W116" s="56">
        <f t="shared" si="20"/>
        <v>0</v>
      </c>
      <c r="X116" s="57" t="str">
        <f t="shared" si="21"/>
        <v/>
      </c>
      <c r="Y116" s="58" t="str">
        <f t="shared" si="22"/>
        <v/>
      </c>
      <c r="AA116" s="62" t="str">
        <f t="shared" si="37"/>
        <v/>
      </c>
    </row>
    <row r="117" spans="3:27">
      <c r="C117" s="82"/>
      <c r="D117" s="44" t="str">
        <f t="shared" si="24"/>
        <v/>
      </c>
      <c r="E117" s="30" t="str">
        <f t="shared" si="33"/>
        <v>00:00:00</v>
      </c>
      <c r="F117" s="36" t="str">
        <f t="shared" si="25"/>
        <v/>
      </c>
      <c r="G117" s="36">
        <f t="shared" si="26"/>
        <v>0</v>
      </c>
      <c r="H117" s="3" t="str">
        <f t="shared" si="27"/>
        <v/>
      </c>
      <c r="I117" s="3">
        <f t="shared" si="28"/>
        <v>0</v>
      </c>
      <c r="L117" s="35">
        <f t="shared" si="38"/>
        <v>1</v>
      </c>
      <c r="M117" s="35" t="str">
        <f t="shared" si="34"/>
        <v/>
      </c>
      <c r="N117" s="3" t="str">
        <f t="shared" si="29"/>
        <v/>
      </c>
      <c r="O117" s="27" t="str">
        <f t="shared" si="30"/>
        <v/>
      </c>
      <c r="P117" s="3">
        <v>115</v>
      </c>
      <c r="Q117" s="3" t="e">
        <f t="shared" si="35"/>
        <v>#N/A</v>
      </c>
      <c r="R117" s="3" t="e">
        <f t="shared" si="36"/>
        <v>#N/A</v>
      </c>
      <c r="T117" s="46" t="str">
        <f t="shared" si="31"/>
        <v/>
      </c>
      <c r="U117" s="48" t="str">
        <f t="shared" si="32"/>
        <v/>
      </c>
      <c r="W117" s="56">
        <f t="shared" si="20"/>
        <v>0</v>
      </c>
      <c r="X117" s="57" t="str">
        <f t="shared" si="21"/>
        <v/>
      </c>
      <c r="Y117" s="58" t="str">
        <f t="shared" si="22"/>
        <v/>
      </c>
      <c r="AA117" s="62" t="str">
        <f t="shared" si="37"/>
        <v/>
      </c>
    </row>
    <row r="118" spans="3:27">
      <c r="C118" s="82"/>
      <c r="D118" s="44" t="str">
        <f t="shared" si="24"/>
        <v/>
      </c>
      <c r="E118" s="30" t="str">
        <f t="shared" si="33"/>
        <v>00:00:00</v>
      </c>
      <c r="F118" s="36" t="str">
        <f t="shared" si="25"/>
        <v/>
      </c>
      <c r="G118" s="36">
        <f t="shared" si="26"/>
        <v>0</v>
      </c>
      <c r="H118" s="3" t="str">
        <f t="shared" si="27"/>
        <v/>
      </c>
      <c r="I118" s="3">
        <f t="shared" si="28"/>
        <v>0</v>
      </c>
      <c r="L118" s="35">
        <f t="shared" si="38"/>
        <v>1</v>
      </c>
      <c r="M118" s="35" t="str">
        <f t="shared" si="34"/>
        <v/>
      </c>
      <c r="N118" s="3" t="str">
        <f t="shared" si="29"/>
        <v/>
      </c>
      <c r="O118" s="27" t="str">
        <f t="shared" si="30"/>
        <v/>
      </c>
      <c r="P118" s="3">
        <v>116</v>
      </c>
      <c r="Q118" s="3" t="e">
        <f t="shared" si="35"/>
        <v>#N/A</v>
      </c>
      <c r="R118" s="3" t="e">
        <f t="shared" si="36"/>
        <v>#N/A</v>
      </c>
      <c r="T118" s="46" t="str">
        <f t="shared" si="31"/>
        <v/>
      </c>
      <c r="U118" s="48" t="str">
        <f t="shared" si="32"/>
        <v/>
      </c>
      <c r="W118" s="56">
        <f t="shared" si="20"/>
        <v>0</v>
      </c>
      <c r="X118" s="57" t="str">
        <f t="shared" si="21"/>
        <v/>
      </c>
      <c r="Y118" s="58" t="str">
        <f t="shared" si="22"/>
        <v/>
      </c>
      <c r="AA118" s="62" t="str">
        <f t="shared" si="37"/>
        <v/>
      </c>
    </row>
    <row r="119" spans="3:27">
      <c r="C119" s="82"/>
      <c r="D119" s="44" t="str">
        <f t="shared" si="24"/>
        <v/>
      </c>
      <c r="E119" s="30" t="str">
        <f t="shared" si="33"/>
        <v>00:00:00</v>
      </c>
      <c r="F119" s="36" t="str">
        <f t="shared" si="25"/>
        <v/>
      </c>
      <c r="G119" s="36">
        <f t="shared" si="26"/>
        <v>0</v>
      </c>
      <c r="H119" s="3" t="str">
        <f t="shared" si="27"/>
        <v/>
      </c>
      <c r="I119" s="3">
        <f t="shared" si="28"/>
        <v>0</v>
      </c>
      <c r="L119" s="35">
        <f t="shared" si="38"/>
        <v>1</v>
      </c>
      <c r="M119" s="35" t="str">
        <f t="shared" si="34"/>
        <v/>
      </c>
      <c r="N119" s="3" t="str">
        <f t="shared" si="29"/>
        <v/>
      </c>
      <c r="O119" s="27" t="str">
        <f t="shared" si="30"/>
        <v/>
      </c>
      <c r="P119" s="3">
        <v>117</v>
      </c>
      <c r="Q119" s="3" t="e">
        <f t="shared" si="35"/>
        <v>#N/A</v>
      </c>
      <c r="R119" s="3" t="e">
        <f t="shared" si="36"/>
        <v>#N/A</v>
      </c>
      <c r="T119" s="46" t="str">
        <f t="shared" si="31"/>
        <v/>
      </c>
      <c r="U119" s="48" t="str">
        <f t="shared" si="32"/>
        <v/>
      </c>
      <c r="W119" s="56">
        <f t="shared" si="20"/>
        <v>0</v>
      </c>
      <c r="X119" s="57" t="str">
        <f t="shared" si="21"/>
        <v/>
      </c>
      <c r="Y119" s="58" t="str">
        <f t="shared" si="22"/>
        <v/>
      </c>
      <c r="AA119" s="62" t="str">
        <f t="shared" si="37"/>
        <v/>
      </c>
    </row>
    <row r="120" spans="3:27">
      <c r="C120" s="82"/>
      <c r="D120" s="44" t="str">
        <f t="shared" si="24"/>
        <v/>
      </c>
      <c r="E120" s="30" t="str">
        <f t="shared" si="33"/>
        <v>00:00:00</v>
      </c>
      <c r="F120" s="36" t="str">
        <f t="shared" si="25"/>
        <v/>
      </c>
      <c r="G120" s="36">
        <f t="shared" si="26"/>
        <v>0</v>
      </c>
      <c r="H120" s="3" t="str">
        <f t="shared" si="27"/>
        <v/>
      </c>
      <c r="I120" s="3">
        <f t="shared" si="28"/>
        <v>0</v>
      </c>
      <c r="L120" s="35">
        <f t="shared" si="38"/>
        <v>1</v>
      </c>
      <c r="M120" s="35" t="str">
        <f t="shared" si="34"/>
        <v/>
      </c>
      <c r="N120" s="3" t="str">
        <f t="shared" si="29"/>
        <v/>
      </c>
      <c r="O120" s="27" t="str">
        <f t="shared" si="30"/>
        <v/>
      </c>
      <c r="P120" s="3">
        <v>118</v>
      </c>
      <c r="Q120" s="3" t="e">
        <f t="shared" si="35"/>
        <v>#N/A</v>
      </c>
      <c r="R120" s="3" t="e">
        <f t="shared" si="36"/>
        <v>#N/A</v>
      </c>
      <c r="T120" s="46" t="str">
        <f t="shared" si="31"/>
        <v/>
      </c>
      <c r="U120" s="48" t="str">
        <f t="shared" si="32"/>
        <v/>
      </c>
      <c r="W120" s="56">
        <f t="shared" si="20"/>
        <v>0</v>
      </c>
      <c r="X120" s="57" t="str">
        <f t="shared" si="21"/>
        <v/>
      </c>
      <c r="Y120" s="58" t="str">
        <f t="shared" si="22"/>
        <v/>
      </c>
      <c r="AA120" s="62" t="str">
        <f t="shared" si="37"/>
        <v/>
      </c>
    </row>
    <row r="121" spans="3:27">
      <c r="C121" s="82"/>
      <c r="D121" s="44" t="str">
        <f t="shared" si="24"/>
        <v/>
      </c>
      <c r="E121" s="30" t="str">
        <f t="shared" si="33"/>
        <v>00:00:00</v>
      </c>
      <c r="F121" s="36" t="str">
        <f t="shared" si="25"/>
        <v/>
      </c>
      <c r="G121" s="36">
        <f t="shared" si="26"/>
        <v>0</v>
      </c>
      <c r="H121" s="3" t="str">
        <f t="shared" si="27"/>
        <v/>
      </c>
      <c r="I121" s="3">
        <f t="shared" si="28"/>
        <v>0</v>
      </c>
      <c r="L121" s="35">
        <f t="shared" si="38"/>
        <v>1</v>
      </c>
      <c r="M121" s="35" t="str">
        <f t="shared" si="34"/>
        <v/>
      </c>
      <c r="N121" s="3" t="str">
        <f t="shared" si="29"/>
        <v/>
      </c>
      <c r="O121" s="27" t="str">
        <f t="shared" si="30"/>
        <v/>
      </c>
      <c r="P121" s="3">
        <v>119</v>
      </c>
      <c r="Q121" s="3" t="e">
        <f t="shared" si="35"/>
        <v>#N/A</v>
      </c>
      <c r="R121" s="3" t="e">
        <f t="shared" si="36"/>
        <v>#N/A</v>
      </c>
      <c r="T121" s="46" t="str">
        <f t="shared" si="31"/>
        <v/>
      </c>
      <c r="U121" s="48" t="str">
        <f t="shared" si="32"/>
        <v/>
      </c>
      <c r="W121" s="56">
        <f t="shared" si="20"/>
        <v>0</v>
      </c>
      <c r="X121" s="57" t="str">
        <f t="shared" si="21"/>
        <v/>
      </c>
      <c r="Y121" s="58" t="str">
        <f t="shared" si="22"/>
        <v/>
      </c>
      <c r="AA121" s="62" t="str">
        <f t="shared" si="37"/>
        <v/>
      </c>
    </row>
    <row r="122" spans="3:27">
      <c r="C122" s="82"/>
      <c r="D122" s="44" t="str">
        <f t="shared" si="24"/>
        <v/>
      </c>
      <c r="E122" s="30" t="str">
        <f t="shared" si="33"/>
        <v>00:00:00</v>
      </c>
      <c r="F122" s="36" t="str">
        <f t="shared" si="25"/>
        <v/>
      </c>
      <c r="G122" s="36">
        <f t="shared" si="26"/>
        <v>0</v>
      </c>
      <c r="H122" s="3" t="str">
        <f t="shared" si="27"/>
        <v/>
      </c>
      <c r="I122" s="3">
        <f t="shared" si="28"/>
        <v>0</v>
      </c>
      <c r="L122" s="35">
        <f t="shared" si="38"/>
        <v>1</v>
      </c>
      <c r="M122" s="35" t="str">
        <f t="shared" si="34"/>
        <v/>
      </c>
      <c r="N122" s="3" t="str">
        <f t="shared" si="29"/>
        <v/>
      </c>
      <c r="O122" s="27" t="str">
        <f t="shared" si="30"/>
        <v/>
      </c>
      <c r="P122" s="3">
        <v>120</v>
      </c>
      <c r="Q122" s="3" t="e">
        <f t="shared" si="35"/>
        <v>#N/A</v>
      </c>
      <c r="R122" s="3" t="e">
        <f t="shared" si="36"/>
        <v>#N/A</v>
      </c>
      <c r="T122" s="46" t="str">
        <f t="shared" si="31"/>
        <v/>
      </c>
      <c r="U122" s="48" t="str">
        <f t="shared" si="32"/>
        <v/>
      </c>
      <c r="W122" s="56">
        <f t="shared" si="20"/>
        <v>0</v>
      </c>
      <c r="X122" s="57" t="str">
        <f t="shared" si="21"/>
        <v/>
      </c>
      <c r="Y122" s="58" t="str">
        <f t="shared" si="22"/>
        <v/>
      </c>
      <c r="AA122" s="62" t="str">
        <f t="shared" si="37"/>
        <v/>
      </c>
    </row>
    <row r="123" spans="3:27">
      <c r="C123" s="82"/>
      <c r="D123" s="44" t="str">
        <f t="shared" si="24"/>
        <v/>
      </c>
      <c r="E123" s="30" t="str">
        <f t="shared" si="33"/>
        <v>00:00:00</v>
      </c>
      <c r="F123" s="36" t="str">
        <f t="shared" si="25"/>
        <v/>
      </c>
      <c r="G123" s="36">
        <f t="shared" si="26"/>
        <v>0</v>
      </c>
      <c r="H123" s="3" t="str">
        <f t="shared" si="27"/>
        <v/>
      </c>
      <c r="I123" s="3">
        <f t="shared" si="28"/>
        <v>0</v>
      </c>
      <c r="L123" s="35">
        <f t="shared" si="38"/>
        <v>1</v>
      </c>
      <c r="M123" s="35" t="str">
        <f t="shared" si="34"/>
        <v/>
      </c>
      <c r="N123" s="3" t="str">
        <f t="shared" si="29"/>
        <v/>
      </c>
      <c r="O123" s="27" t="str">
        <f t="shared" si="30"/>
        <v/>
      </c>
      <c r="P123" s="3">
        <v>121</v>
      </c>
      <c r="Q123" s="3" t="e">
        <f t="shared" si="35"/>
        <v>#N/A</v>
      </c>
      <c r="R123" s="3" t="e">
        <f t="shared" si="36"/>
        <v>#N/A</v>
      </c>
      <c r="T123" s="46" t="str">
        <f t="shared" si="31"/>
        <v/>
      </c>
      <c r="U123" s="48" t="str">
        <f t="shared" si="32"/>
        <v/>
      </c>
      <c r="W123" s="56">
        <f t="shared" si="20"/>
        <v>0</v>
      </c>
      <c r="X123" s="57" t="str">
        <f t="shared" si="21"/>
        <v/>
      </c>
      <c r="Y123" s="58" t="str">
        <f t="shared" si="22"/>
        <v/>
      </c>
      <c r="AA123" s="62" t="str">
        <f t="shared" si="37"/>
        <v/>
      </c>
    </row>
    <row r="124" spans="3:27">
      <c r="C124" s="82"/>
      <c r="D124" s="44" t="str">
        <f t="shared" si="24"/>
        <v/>
      </c>
      <c r="E124" s="30" t="str">
        <f t="shared" si="33"/>
        <v>00:00:00</v>
      </c>
      <c r="F124" s="36" t="str">
        <f t="shared" si="25"/>
        <v/>
      </c>
      <c r="G124" s="36">
        <f t="shared" si="26"/>
        <v>0</v>
      </c>
      <c r="H124" s="3" t="str">
        <f t="shared" si="27"/>
        <v/>
      </c>
      <c r="I124" s="3">
        <f t="shared" si="28"/>
        <v>0</v>
      </c>
      <c r="L124" s="35">
        <f t="shared" si="38"/>
        <v>1</v>
      </c>
      <c r="M124" s="35" t="str">
        <f t="shared" si="34"/>
        <v/>
      </c>
      <c r="N124" s="3" t="str">
        <f t="shared" si="29"/>
        <v/>
      </c>
      <c r="O124" s="27" t="str">
        <f t="shared" si="30"/>
        <v/>
      </c>
      <c r="P124" s="3">
        <v>122</v>
      </c>
      <c r="Q124" s="3" t="e">
        <f t="shared" si="35"/>
        <v>#N/A</v>
      </c>
      <c r="R124" s="3" t="e">
        <f t="shared" si="36"/>
        <v>#N/A</v>
      </c>
      <c r="T124" s="46" t="str">
        <f t="shared" si="31"/>
        <v/>
      </c>
      <c r="U124" s="48" t="str">
        <f t="shared" si="32"/>
        <v/>
      </c>
      <c r="W124" s="56">
        <f t="shared" si="20"/>
        <v>0</v>
      </c>
      <c r="X124" s="57" t="str">
        <f t="shared" si="21"/>
        <v/>
      </c>
      <c r="Y124" s="58" t="str">
        <f t="shared" si="22"/>
        <v/>
      </c>
      <c r="AA124" s="62" t="str">
        <f t="shared" si="37"/>
        <v/>
      </c>
    </row>
    <row r="125" spans="3:27">
      <c r="C125" s="82"/>
      <c r="D125" s="44" t="str">
        <f t="shared" si="24"/>
        <v/>
      </c>
      <c r="E125" s="30" t="str">
        <f t="shared" si="33"/>
        <v>00:00:00</v>
      </c>
      <c r="F125" s="36" t="str">
        <f t="shared" si="25"/>
        <v/>
      </c>
      <c r="G125" s="36">
        <f t="shared" si="26"/>
        <v>0</v>
      </c>
      <c r="H125" s="3" t="str">
        <f t="shared" si="27"/>
        <v/>
      </c>
      <c r="I125" s="3">
        <f t="shared" si="28"/>
        <v>0</v>
      </c>
      <c r="L125" s="35">
        <f t="shared" si="38"/>
        <v>1</v>
      </c>
      <c r="M125" s="35" t="str">
        <f t="shared" si="34"/>
        <v/>
      </c>
      <c r="N125" s="3" t="str">
        <f t="shared" si="29"/>
        <v/>
      </c>
      <c r="O125" s="27" t="str">
        <f t="shared" si="30"/>
        <v/>
      </c>
      <c r="P125" s="3">
        <v>123</v>
      </c>
      <c r="Q125" s="3" t="e">
        <f t="shared" si="35"/>
        <v>#N/A</v>
      </c>
      <c r="R125" s="3" t="e">
        <f t="shared" si="36"/>
        <v>#N/A</v>
      </c>
      <c r="T125" s="46" t="str">
        <f t="shared" si="31"/>
        <v/>
      </c>
      <c r="U125" s="48" t="str">
        <f t="shared" si="32"/>
        <v/>
      </c>
      <c r="W125" s="56">
        <f t="shared" si="20"/>
        <v>0</v>
      </c>
      <c r="X125" s="57" t="str">
        <f t="shared" si="21"/>
        <v/>
      </c>
      <c r="Y125" s="58" t="str">
        <f t="shared" si="22"/>
        <v/>
      </c>
      <c r="AA125" s="62" t="str">
        <f t="shared" si="37"/>
        <v/>
      </c>
    </row>
    <row r="126" spans="3:27">
      <c r="C126" s="82"/>
      <c r="D126" s="44" t="str">
        <f t="shared" si="24"/>
        <v/>
      </c>
      <c r="E126" s="30" t="str">
        <f t="shared" si="33"/>
        <v>00:00:00</v>
      </c>
      <c r="F126" s="36" t="str">
        <f t="shared" si="25"/>
        <v/>
      </c>
      <c r="G126" s="36">
        <f t="shared" si="26"/>
        <v>0</v>
      </c>
      <c r="H126" s="3" t="str">
        <f t="shared" si="27"/>
        <v/>
      </c>
      <c r="I126" s="3">
        <f t="shared" si="28"/>
        <v>0</v>
      </c>
      <c r="L126" s="35">
        <f t="shared" si="38"/>
        <v>1</v>
      </c>
      <c r="M126" s="35" t="str">
        <f t="shared" si="34"/>
        <v/>
      </c>
      <c r="N126" s="3" t="str">
        <f t="shared" si="29"/>
        <v/>
      </c>
      <c r="O126" s="27" t="str">
        <f t="shared" si="30"/>
        <v/>
      </c>
      <c r="P126" s="3">
        <v>124</v>
      </c>
      <c r="Q126" s="3" t="e">
        <f t="shared" si="35"/>
        <v>#N/A</v>
      </c>
      <c r="R126" s="3" t="e">
        <f t="shared" si="36"/>
        <v>#N/A</v>
      </c>
      <c r="T126" s="46" t="str">
        <f t="shared" si="31"/>
        <v/>
      </c>
      <c r="U126" s="48" t="str">
        <f t="shared" si="32"/>
        <v/>
      </c>
      <c r="W126" s="56">
        <f t="shared" si="20"/>
        <v>0</v>
      </c>
      <c r="X126" s="57" t="str">
        <f t="shared" si="21"/>
        <v/>
      </c>
      <c r="Y126" s="58" t="str">
        <f t="shared" si="22"/>
        <v/>
      </c>
      <c r="AA126" s="62" t="str">
        <f t="shared" si="37"/>
        <v/>
      </c>
    </row>
    <row r="127" spans="3:27">
      <c r="C127" s="82"/>
      <c r="D127" s="44" t="str">
        <f t="shared" si="24"/>
        <v/>
      </c>
      <c r="E127" s="30" t="str">
        <f t="shared" si="33"/>
        <v>00:00:00</v>
      </c>
      <c r="F127" s="36" t="str">
        <f t="shared" si="25"/>
        <v/>
      </c>
      <c r="G127" s="36">
        <f t="shared" si="26"/>
        <v>0</v>
      </c>
      <c r="H127" s="3" t="str">
        <f t="shared" si="27"/>
        <v/>
      </c>
      <c r="I127" s="3">
        <f t="shared" si="28"/>
        <v>0</v>
      </c>
      <c r="L127" s="35">
        <f t="shared" si="38"/>
        <v>1</v>
      </c>
      <c r="M127" s="35" t="str">
        <f t="shared" si="34"/>
        <v/>
      </c>
      <c r="N127" s="3" t="str">
        <f t="shared" si="29"/>
        <v/>
      </c>
      <c r="O127" s="27" t="str">
        <f t="shared" si="30"/>
        <v/>
      </c>
      <c r="P127" s="3">
        <v>125</v>
      </c>
      <c r="Q127" s="3" t="e">
        <f t="shared" si="35"/>
        <v>#N/A</v>
      </c>
      <c r="R127" s="3" t="e">
        <f t="shared" si="36"/>
        <v>#N/A</v>
      </c>
      <c r="T127" s="46" t="str">
        <f t="shared" si="31"/>
        <v/>
      </c>
      <c r="U127" s="48" t="str">
        <f t="shared" si="32"/>
        <v/>
      </c>
      <c r="W127" s="56">
        <f t="shared" si="20"/>
        <v>0</v>
      </c>
      <c r="X127" s="57" t="str">
        <f t="shared" si="21"/>
        <v/>
      </c>
      <c r="Y127" s="58" t="str">
        <f t="shared" si="22"/>
        <v/>
      </c>
      <c r="AA127" s="62" t="str">
        <f t="shared" si="37"/>
        <v/>
      </c>
    </row>
    <row r="128" spans="3:27">
      <c r="C128" s="82"/>
      <c r="D128" s="44" t="str">
        <f t="shared" si="24"/>
        <v/>
      </c>
      <c r="E128" s="30" t="str">
        <f t="shared" si="33"/>
        <v>00:00:00</v>
      </c>
      <c r="F128" s="36" t="str">
        <f t="shared" si="25"/>
        <v/>
      </c>
      <c r="G128" s="36">
        <f t="shared" si="26"/>
        <v>0</v>
      </c>
      <c r="H128" s="3" t="str">
        <f t="shared" si="27"/>
        <v/>
      </c>
      <c r="I128" s="3">
        <f t="shared" si="28"/>
        <v>0</v>
      </c>
      <c r="L128" s="35">
        <f t="shared" si="38"/>
        <v>1</v>
      </c>
      <c r="M128" s="35" t="str">
        <f t="shared" si="34"/>
        <v/>
      </c>
      <c r="N128" s="3" t="str">
        <f t="shared" si="29"/>
        <v/>
      </c>
      <c r="O128" s="27" t="str">
        <f t="shared" si="30"/>
        <v/>
      </c>
      <c r="P128" s="3">
        <v>126</v>
      </c>
      <c r="Q128" s="3" t="e">
        <f t="shared" si="35"/>
        <v>#N/A</v>
      </c>
      <c r="R128" s="3" t="e">
        <f t="shared" si="36"/>
        <v>#N/A</v>
      </c>
      <c r="T128" s="46" t="str">
        <f t="shared" si="31"/>
        <v/>
      </c>
      <c r="U128" s="48" t="str">
        <f t="shared" si="32"/>
        <v/>
      </c>
      <c r="W128" s="56">
        <f t="shared" si="20"/>
        <v>0</v>
      </c>
      <c r="X128" s="57" t="str">
        <f t="shared" si="21"/>
        <v/>
      </c>
      <c r="Y128" s="58" t="str">
        <f t="shared" si="22"/>
        <v/>
      </c>
      <c r="AA128" s="62" t="str">
        <f t="shared" si="37"/>
        <v/>
      </c>
    </row>
    <row r="129" spans="3:27">
      <c r="C129" s="82"/>
      <c r="D129" s="44" t="str">
        <f t="shared" si="24"/>
        <v/>
      </c>
      <c r="E129" s="30" t="str">
        <f t="shared" si="33"/>
        <v>00:00:00</v>
      </c>
      <c r="F129" s="36" t="str">
        <f t="shared" si="25"/>
        <v/>
      </c>
      <c r="G129" s="36">
        <f t="shared" si="26"/>
        <v>0</v>
      </c>
      <c r="H129" s="3" t="str">
        <f t="shared" si="27"/>
        <v/>
      </c>
      <c r="I129" s="3">
        <f t="shared" si="28"/>
        <v>0</v>
      </c>
      <c r="L129" s="35">
        <f t="shared" si="38"/>
        <v>1</v>
      </c>
      <c r="M129" s="35" t="str">
        <f t="shared" si="34"/>
        <v/>
      </c>
      <c r="N129" s="3" t="str">
        <f t="shared" si="29"/>
        <v/>
      </c>
      <c r="O129" s="27" t="str">
        <f t="shared" si="30"/>
        <v/>
      </c>
      <c r="P129" s="3">
        <v>127</v>
      </c>
      <c r="Q129" s="3" t="e">
        <f t="shared" si="35"/>
        <v>#N/A</v>
      </c>
      <c r="R129" s="3" t="e">
        <f t="shared" si="36"/>
        <v>#N/A</v>
      </c>
      <c r="T129" s="46" t="str">
        <f t="shared" si="31"/>
        <v/>
      </c>
      <c r="U129" s="48" t="str">
        <f t="shared" si="32"/>
        <v/>
      </c>
      <c r="W129" s="56">
        <f t="shared" si="20"/>
        <v>0</v>
      </c>
      <c r="X129" s="57" t="str">
        <f t="shared" si="21"/>
        <v/>
      </c>
      <c r="Y129" s="58" t="str">
        <f t="shared" si="22"/>
        <v/>
      </c>
      <c r="AA129" s="62" t="str">
        <f t="shared" si="37"/>
        <v/>
      </c>
    </row>
    <row r="130" spans="3:27">
      <c r="C130" s="82"/>
      <c r="D130" s="44" t="str">
        <f t="shared" si="24"/>
        <v/>
      </c>
      <c r="E130" s="30" t="str">
        <f t="shared" si="33"/>
        <v>00:00:00</v>
      </c>
      <c r="F130" s="36" t="str">
        <f t="shared" si="25"/>
        <v/>
      </c>
      <c r="G130" s="36">
        <f t="shared" si="26"/>
        <v>0</v>
      </c>
      <c r="H130" s="3" t="str">
        <f t="shared" si="27"/>
        <v/>
      </c>
      <c r="I130" s="3">
        <f t="shared" si="28"/>
        <v>0</v>
      </c>
      <c r="L130" s="35">
        <f t="shared" si="38"/>
        <v>1</v>
      </c>
      <c r="M130" s="35" t="str">
        <f t="shared" si="34"/>
        <v/>
      </c>
      <c r="N130" s="3" t="str">
        <f t="shared" si="29"/>
        <v/>
      </c>
      <c r="O130" s="27" t="str">
        <f t="shared" si="30"/>
        <v/>
      </c>
      <c r="P130" s="3">
        <v>128</v>
      </c>
      <c r="Q130" s="3" t="e">
        <f t="shared" si="35"/>
        <v>#N/A</v>
      </c>
      <c r="R130" s="3" t="e">
        <f t="shared" si="36"/>
        <v>#N/A</v>
      </c>
      <c r="T130" s="46" t="str">
        <f t="shared" si="31"/>
        <v/>
      </c>
      <c r="U130" s="48" t="str">
        <f t="shared" si="32"/>
        <v/>
      </c>
      <c r="W130" s="56">
        <f t="shared" ref="W130:W193" si="39">IF(H130&lt;&gt;H131,1,0)</f>
        <v>0</v>
      </c>
      <c r="X130" s="57" t="str">
        <f t="shared" ref="X130:X193" si="40">IF(W130=1,H130,"")</f>
        <v/>
      </c>
      <c r="Y130" s="58" t="str">
        <f t="shared" ref="Y130:Y193" si="41">D130</f>
        <v/>
      </c>
      <c r="AA130" s="62" t="str">
        <f t="shared" si="37"/>
        <v/>
      </c>
    </row>
    <row r="131" spans="3:27">
      <c r="C131" s="82"/>
      <c r="D131" s="44" t="str">
        <f t="shared" ref="D131:D132" si="42">IF(ISNUMBER(C131),IF(A131=A132,D132,E131),"")</f>
        <v/>
      </c>
      <c r="E131" s="30" t="str">
        <f t="shared" si="33"/>
        <v>00:00:00</v>
      </c>
      <c r="F131" s="36" t="str">
        <f t="shared" ref="F131:F194" si="43">IF(G131=0,"",IF(G131&lt;8,1,IF(G131&lt;15,2,IF(G131&lt;22,3,4))))</f>
        <v/>
      </c>
      <c r="G131" s="36">
        <f t="shared" ref="G131:G194" si="44">DAY(B131)</f>
        <v>0</v>
      </c>
      <c r="H131" s="3" t="str">
        <f t="shared" ref="H131:H194" si="45">IF(ISNUMBER(B131),VLOOKUP(MONTH(B131),$J$2:$K$13,2,FALSE),"")</f>
        <v/>
      </c>
      <c r="I131" s="3">
        <f t="shared" ref="I131:I194" si="46">IF(A131&lt;&gt;A132,1,0)</f>
        <v>0</v>
      </c>
      <c r="L131" s="35">
        <f t="shared" si="38"/>
        <v>1</v>
      </c>
      <c r="M131" s="35" t="str">
        <f t="shared" si="34"/>
        <v/>
      </c>
      <c r="N131" s="3" t="str">
        <f t="shared" ref="N131:N132" si="47">IF(I131=1,"Semana #"&amp;A131&amp;" del año y Semana #"&amp;F131&amp;" de "&amp;H131,"")</f>
        <v/>
      </c>
      <c r="O131" s="27" t="str">
        <f t="shared" ref="O131:O194" si="48">D131</f>
        <v/>
      </c>
      <c r="P131" s="3">
        <v>129</v>
      </c>
      <c r="Q131" s="3" t="e">
        <f t="shared" si="35"/>
        <v>#N/A</v>
      </c>
      <c r="R131" s="3" t="e">
        <f t="shared" si="36"/>
        <v>#N/A</v>
      </c>
      <c r="T131" s="46" t="str">
        <f t="shared" ref="T131:T194" si="49">IFERROR(R131,"")</f>
        <v/>
      </c>
      <c r="U131" s="48" t="str">
        <f t="shared" ref="U131:U194" si="50">IFERROR(Q131,"")</f>
        <v/>
      </c>
      <c r="W131" s="56">
        <f t="shared" si="39"/>
        <v>0</v>
      </c>
      <c r="X131" s="57" t="str">
        <f t="shared" si="40"/>
        <v/>
      </c>
      <c r="Y131" s="58" t="str">
        <f t="shared" si="41"/>
        <v/>
      </c>
      <c r="AA131" s="62" t="str">
        <f t="shared" si="37"/>
        <v/>
      </c>
    </row>
    <row r="132" spans="3:27">
      <c r="C132" s="82"/>
      <c r="D132" s="44" t="str">
        <f t="shared" si="42"/>
        <v/>
      </c>
      <c r="E132" s="30" t="str">
        <f t="shared" ref="E132:E195" si="51">IF(A132&lt;&gt;A131,TEXT(C132,"hh:mm:ss"),TEXT(C132+E131,"hh:mm:ss"))</f>
        <v>00:00:00</v>
      </c>
      <c r="F132" s="36" t="str">
        <f t="shared" si="43"/>
        <v/>
      </c>
      <c r="G132" s="36">
        <f t="shared" si="44"/>
        <v>0</v>
      </c>
      <c r="H132" s="3" t="str">
        <f t="shared" si="45"/>
        <v/>
      </c>
      <c r="I132" s="3">
        <f t="shared" si="46"/>
        <v>0</v>
      </c>
      <c r="L132" s="35">
        <f t="shared" si="38"/>
        <v>1</v>
      </c>
      <c r="M132" s="35" t="str">
        <f t="shared" ref="M132" si="52">IF(L132=L133,"",L132)</f>
        <v/>
      </c>
      <c r="N132" s="3" t="str">
        <f t="shared" si="47"/>
        <v/>
      </c>
      <c r="O132" s="27" t="str">
        <f t="shared" si="48"/>
        <v/>
      </c>
      <c r="P132" s="3">
        <v>130</v>
      </c>
      <c r="Q132" s="3" t="e">
        <f t="shared" ref="Q132:Q195" si="53">VLOOKUP(P132,M:O,3,FALSE)</f>
        <v>#N/A</v>
      </c>
      <c r="R132" s="3" t="e">
        <f t="shared" ref="R132:R195" si="54">VLOOKUP(P132,M:N,2,FALSE)</f>
        <v>#N/A</v>
      </c>
      <c r="T132" s="46" t="str">
        <f t="shared" si="49"/>
        <v/>
      </c>
      <c r="U132" s="48" t="str">
        <f t="shared" si="50"/>
        <v/>
      </c>
      <c r="W132" s="56">
        <f t="shared" si="39"/>
        <v>0</v>
      </c>
      <c r="X132" s="57" t="str">
        <f t="shared" si="40"/>
        <v/>
      </c>
      <c r="Y132" s="58" t="str">
        <f t="shared" si="41"/>
        <v/>
      </c>
      <c r="AA132" s="62" t="str">
        <f t="shared" ref="AA132:AA195" si="55">IFERROR(VLOOKUP(Z132,X:Y,2,FALSE),"")</f>
        <v/>
      </c>
    </row>
    <row r="133" spans="3:27">
      <c r="C133" s="82"/>
      <c r="E133" s="30" t="str">
        <f t="shared" si="51"/>
        <v>00:00:00</v>
      </c>
      <c r="F133" s="36" t="str">
        <f t="shared" si="43"/>
        <v/>
      </c>
      <c r="G133" s="36">
        <f t="shared" si="44"/>
        <v>0</v>
      </c>
      <c r="H133" s="3" t="str">
        <f t="shared" si="45"/>
        <v/>
      </c>
      <c r="I133" s="3">
        <f t="shared" si="46"/>
        <v>0</v>
      </c>
      <c r="L133" s="35">
        <f t="shared" si="38"/>
        <v>1</v>
      </c>
      <c r="O133" s="27">
        <f t="shared" si="48"/>
        <v>0</v>
      </c>
      <c r="P133" s="3">
        <v>131</v>
      </c>
      <c r="Q133" s="3" t="e">
        <f t="shared" si="53"/>
        <v>#N/A</v>
      </c>
      <c r="R133" s="3" t="e">
        <f t="shared" si="54"/>
        <v>#N/A</v>
      </c>
      <c r="T133" s="46" t="str">
        <f t="shared" si="49"/>
        <v/>
      </c>
      <c r="U133" s="48" t="str">
        <f t="shared" si="50"/>
        <v/>
      </c>
      <c r="W133" s="56">
        <f t="shared" si="39"/>
        <v>0</v>
      </c>
      <c r="X133" s="57" t="str">
        <f t="shared" si="40"/>
        <v/>
      </c>
      <c r="Y133" s="58">
        <f t="shared" si="41"/>
        <v>0</v>
      </c>
      <c r="AA133" s="62" t="str">
        <f t="shared" si="55"/>
        <v/>
      </c>
    </row>
    <row r="134" spans="3:27">
      <c r="C134" s="82"/>
      <c r="E134" s="30" t="str">
        <f t="shared" si="51"/>
        <v>00:00:00</v>
      </c>
      <c r="F134" s="36" t="str">
        <f t="shared" si="43"/>
        <v/>
      </c>
      <c r="G134" s="36">
        <f t="shared" si="44"/>
        <v>0</v>
      </c>
      <c r="H134" s="3" t="str">
        <f t="shared" si="45"/>
        <v/>
      </c>
      <c r="I134" s="3">
        <f t="shared" si="46"/>
        <v>0</v>
      </c>
      <c r="L134" s="35">
        <f t="shared" si="38"/>
        <v>1</v>
      </c>
      <c r="O134" s="27">
        <f t="shared" si="48"/>
        <v>0</v>
      </c>
      <c r="P134" s="3">
        <v>132</v>
      </c>
      <c r="Q134" s="3" t="e">
        <f t="shared" si="53"/>
        <v>#N/A</v>
      </c>
      <c r="R134" s="3" t="e">
        <f t="shared" si="54"/>
        <v>#N/A</v>
      </c>
      <c r="T134" s="46" t="str">
        <f t="shared" si="49"/>
        <v/>
      </c>
      <c r="U134" s="48" t="str">
        <f t="shared" si="50"/>
        <v/>
      </c>
      <c r="W134" s="56">
        <f t="shared" si="39"/>
        <v>0</v>
      </c>
      <c r="X134" s="57" t="str">
        <f t="shared" si="40"/>
        <v/>
      </c>
      <c r="Y134" s="58">
        <f t="shared" si="41"/>
        <v>0</v>
      </c>
      <c r="AA134" s="62" t="str">
        <f t="shared" si="55"/>
        <v/>
      </c>
    </row>
    <row r="135" spans="3:27">
      <c r="C135" s="82"/>
      <c r="E135" s="30" t="str">
        <f t="shared" si="51"/>
        <v>00:00:00</v>
      </c>
      <c r="F135" s="36" t="str">
        <f t="shared" si="43"/>
        <v/>
      </c>
      <c r="G135" s="36">
        <f t="shared" si="44"/>
        <v>0</v>
      </c>
      <c r="H135" s="3" t="str">
        <f t="shared" si="45"/>
        <v/>
      </c>
      <c r="I135" s="3">
        <f t="shared" si="46"/>
        <v>0</v>
      </c>
      <c r="L135" s="35">
        <f t="shared" si="38"/>
        <v>1</v>
      </c>
      <c r="O135" s="27">
        <f t="shared" si="48"/>
        <v>0</v>
      </c>
      <c r="P135" s="3">
        <v>133</v>
      </c>
      <c r="Q135" s="3" t="e">
        <f t="shared" si="53"/>
        <v>#N/A</v>
      </c>
      <c r="R135" s="3" t="e">
        <f t="shared" si="54"/>
        <v>#N/A</v>
      </c>
      <c r="T135" s="46" t="str">
        <f t="shared" si="49"/>
        <v/>
      </c>
      <c r="U135" s="48" t="str">
        <f t="shared" si="50"/>
        <v/>
      </c>
      <c r="W135" s="56">
        <f t="shared" si="39"/>
        <v>0</v>
      </c>
      <c r="X135" s="57" t="str">
        <f t="shared" si="40"/>
        <v/>
      </c>
      <c r="Y135" s="58">
        <f t="shared" si="41"/>
        <v>0</v>
      </c>
      <c r="AA135" s="62" t="str">
        <f t="shared" si="55"/>
        <v/>
      </c>
    </row>
    <row r="136" spans="3:27">
      <c r="C136" s="82"/>
      <c r="E136" s="30" t="str">
        <f t="shared" si="51"/>
        <v>00:00:00</v>
      </c>
      <c r="F136" s="36" t="str">
        <f t="shared" si="43"/>
        <v/>
      </c>
      <c r="G136" s="36">
        <f t="shared" si="44"/>
        <v>0</v>
      </c>
      <c r="H136" s="3" t="str">
        <f t="shared" si="45"/>
        <v/>
      </c>
      <c r="I136" s="3">
        <f t="shared" si="46"/>
        <v>0</v>
      </c>
      <c r="L136" s="35">
        <f t="shared" si="38"/>
        <v>1</v>
      </c>
      <c r="O136" s="27">
        <f t="shared" si="48"/>
        <v>0</v>
      </c>
      <c r="P136" s="3">
        <v>134</v>
      </c>
      <c r="Q136" s="3" t="e">
        <f t="shared" si="53"/>
        <v>#N/A</v>
      </c>
      <c r="R136" s="3" t="e">
        <f t="shared" si="54"/>
        <v>#N/A</v>
      </c>
      <c r="T136" s="46" t="str">
        <f t="shared" si="49"/>
        <v/>
      </c>
      <c r="U136" s="48" t="str">
        <f t="shared" si="50"/>
        <v/>
      </c>
      <c r="W136" s="56">
        <f t="shared" si="39"/>
        <v>0</v>
      </c>
      <c r="X136" s="57" t="str">
        <f t="shared" si="40"/>
        <v/>
      </c>
      <c r="Y136" s="58">
        <f t="shared" si="41"/>
        <v>0</v>
      </c>
      <c r="AA136" s="62" t="str">
        <f t="shared" si="55"/>
        <v/>
      </c>
    </row>
    <row r="137" spans="3:27">
      <c r="C137" s="82"/>
      <c r="E137" s="30" t="str">
        <f t="shared" si="51"/>
        <v>00:00:00</v>
      </c>
      <c r="F137" s="36" t="str">
        <f t="shared" si="43"/>
        <v/>
      </c>
      <c r="G137" s="36">
        <f t="shared" si="44"/>
        <v>0</v>
      </c>
      <c r="H137" s="3" t="str">
        <f t="shared" si="45"/>
        <v/>
      </c>
      <c r="I137" s="3">
        <f t="shared" si="46"/>
        <v>0</v>
      </c>
      <c r="L137" s="35">
        <f t="shared" si="38"/>
        <v>1</v>
      </c>
      <c r="O137" s="27">
        <f t="shared" si="48"/>
        <v>0</v>
      </c>
      <c r="P137" s="3">
        <v>135</v>
      </c>
      <c r="Q137" s="3" t="e">
        <f t="shared" si="53"/>
        <v>#N/A</v>
      </c>
      <c r="R137" s="3" t="e">
        <f t="shared" si="54"/>
        <v>#N/A</v>
      </c>
      <c r="T137" s="46" t="str">
        <f t="shared" si="49"/>
        <v/>
      </c>
      <c r="U137" s="48" t="str">
        <f t="shared" si="50"/>
        <v/>
      </c>
      <c r="W137" s="56">
        <f t="shared" si="39"/>
        <v>0</v>
      </c>
      <c r="X137" s="57" t="str">
        <f t="shared" si="40"/>
        <v/>
      </c>
      <c r="Y137" s="58">
        <f t="shared" si="41"/>
        <v>0</v>
      </c>
      <c r="AA137" s="62" t="str">
        <f t="shared" si="55"/>
        <v/>
      </c>
    </row>
    <row r="138" spans="3:27">
      <c r="C138" s="82"/>
      <c r="E138" s="30" t="str">
        <f t="shared" si="51"/>
        <v>00:00:00</v>
      </c>
      <c r="F138" s="36" t="str">
        <f t="shared" si="43"/>
        <v/>
      </c>
      <c r="G138" s="36">
        <f t="shared" si="44"/>
        <v>0</v>
      </c>
      <c r="H138" s="3" t="str">
        <f t="shared" si="45"/>
        <v/>
      </c>
      <c r="I138" s="3">
        <f t="shared" si="46"/>
        <v>0</v>
      </c>
      <c r="L138" s="35">
        <f t="shared" si="38"/>
        <v>1</v>
      </c>
      <c r="O138" s="27">
        <f t="shared" si="48"/>
        <v>0</v>
      </c>
      <c r="P138" s="3">
        <v>136</v>
      </c>
      <c r="Q138" s="3" t="e">
        <f t="shared" si="53"/>
        <v>#N/A</v>
      </c>
      <c r="R138" s="3" t="e">
        <f t="shared" si="54"/>
        <v>#N/A</v>
      </c>
      <c r="T138" s="46" t="str">
        <f t="shared" si="49"/>
        <v/>
      </c>
      <c r="U138" s="48" t="str">
        <f t="shared" si="50"/>
        <v/>
      </c>
      <c r="W138" s="56">
        <f t="shared" si="39"/>
        <v>0</v>
      </c>
      <c r="X138" s="57" t="str">
        <f t="shared" si="40"/>
        <v/>
      </c>
      <c r="Y138" s="58">
        <f t="shared" si="41"/>
        <v>0</v>
      </c>
      <c r="AA138" s="62" t="str">
        <f t="shared" si="55"/>
        <v/>
      </c>
    </row>
    <row r="139" spans="3:27">
      <c r="C139" s="82"/>
      <c r="E139" s="30" t="str">
        <f t="shared" si="51"/>
        <v>00:00:00</v>
      </c>
      <c r="F139" s="36" t="str">
        <f t="shared" si="43"/>
        <v/>
      </c>
      <c r="G139" s="36">
        <f t="shared" si="44"/>
        <v>0</v>
      </c>
      <c r="H139" s="3" t="str">
        <f t="shared" si="45"/>
        <v/>
      </c>
      <c r="I139" s="3">
        <f t="shared" si="46"/>
        <v>0</v>
      </c>
      <c r="L139" s="35">
        <f t="shared" si="38"/>
        <v>1</v>
      </c>
      <c r="O139" s="27">
        <f t="shared" si="48"/>
        <v>0</v>
      </c>
      <c r="P139" s="3">
        <v>137</v>
      </c>
      <c r="Q139" s="3" t="e">
        <f t="shared" si="53"/>
        <v>#N/A</v>
      </c>
      <c r="R139" s="3" t="e">
        <f t="shared" si="54"/>
        <v>#N/A</v>
      </c>
      <c r="T139" s="46" t="str">
        <f t="shared" si="49"/>
        <v/>
      </c>
      <c r="U139" s="48" t="str">
        <f t="shared" si="50"/>
        <v/>
      </c>
      <c r="W139" s="56">
        <f t="shared" si="39"/>
        <v>0</v>
      </c>
      <c r="X139" s="57" t="str">
        <f t="shared" si="40"/>
        <v/>
      </c>
      <c r="Y139" s="58">
        <f t="shared" si="41"/>
        <v>0</v>
      </c>
      <c r="AA139" s="62" t="str">
        <f t="shared" si="55"/>
        <v/>
      </c>
    </row>
    <row r="140" spans="3:27">
      <c r="C140" s="82"/>
      <c r="E140" s="30" t="str">
        <f t="shared" si="51"/>
        <v>00:00:00</v>
      </c>
      <c r="F140" s="36" t="str">
        <f t="shared" si="43"/>
        <v/>
      </c>
      <c r="G140" s="36">
        <f t="shared" si="44"/>
        <v>0</v>
      </c>
      <c r="H140" s="3" t="str">
        <f t="shared" si="45"/>
        <v/>
      </c>
      <c r="I140" s="3">
        <f t="shared" si="46"/>
        <v>0</v>
      </c>
      <c r="L140" s="35">
        <f t="shared" ref="L140:L203" si="56">IF(I139=1,L139+I139,L139)</f>
        <v>1</v>
      </c>
      <c r="O140" s="27">
        <f t="shared" si="48"/>
        <v>0</v>
      </c>
      <c r="P140" s="3">
        <v>138</v>
      </c>
      <c r="Q140" s="3" t="e">
        <f t="shared" si="53"/>
        <v>#N/A</v>
      </c>
      <c r="R140" s="3" t="e">
        <f t="shared" si="54"/>
        <v>#N/A</v>
      </c>
      <c r="T140" s="46" t="str">
        <f t="shared" si="49"/>
        <v/>
      </c>
      <c r="U140" s="48" t="str">
        <f t="shared" si="50"/>
        <v/>
      </c>
      <c r="W140" s="56">
        <f t="shared" si="39"/>
        <v>0</v>
      </c>
      <c r="X140" s="57" t="str">
        <f t="shared" si="40"/>
        <v/>
      </c>
      <c r="Y140" s="58">
        <f t="shared" si="41"/>
        <v>0</v>
      </c>
      <c r="AA140" s="62" t="str">
        <f t="shared" si="55"/>
        <v/>
      </c>
    </row>
    <row r="141" spans="3:27">
      <c r="C141" s="82"/>
      <c r="E141" s="30" t="str">
        <f t="shared" si="51"/>
        <v>00:00:00</v>
      </c>
      <c r="F141" s="36" t="str">
        <f t="shared" si="43"/>
        <v/>
      </c>
      <c r="G141" s="36">
        <f t="shared" si="44"/>
        <v>0</v>
      </c>
      <c r="H141" s="3" t="str">
        <f t="shared" si="45"/>
        <v/>
      </c>
      <c r="I141" s="3">
        <f t="shared" si="46"/>
        <v>0</v>
      </c>
      <c r="L141" s="35">
        <f t="shared" si="56"/>
        <v>1</v>
      </c>
      <c r="O141" s="27">
        <f t="shared" si="48"/>
        <v>0</v>
      </c>
      <c r="P141" s="3">
        <v>139</v>
      </c>
      <c r="Q141" s="3" t="e">
        <f t="shared" si="53"/>
        <v>#N/A</v>
      </c>
      <c r="R141" s="3" t="e">
        <f t="shared" si="54"/>
        <v>#N/A</v>
      </c>
      <c r="T141" s="46" t="str">
        <f t="shared" si="49"/>
        <v/>
      </c>
      <c r="U141" s="48" t="str">
        <f t="shared" si="50"/>
        <v/>
      </c>
      <c r="W141" s="56">
        <f t="shared" si="39"/>
        <v>0</v>
      </c>
      <c r="X141" s="57" t="str">
        <f t="shared" si="40"/>
        <v/>
      </c>
      <c r="Y141" s="58">
        <f t="shared" si="41"/>
        <v>0</v>
      </c>
      <c r="AA141" s="62" t="str">
        <f t="shared" si="55"/>
        <v/>
      </c>
    </row>
    <row r="142" spans="3:27">
      <c r="C142" s="82"/>
      <c r="E142" s="30" t="str">
        <f t="shared" si="51"/>
        <v>00:00:00</v>
      </c>
      <c r="F142" s="36" t="str">
        <f t="shared" si="43"/>
        <v/>
      </c>
      <c r="G142" s="36">
        <f t="shared" si="44"/>
        <v>0</v>
      </c>
      <c r="H142" s="3" t="str">
        <f t="shared" si="45"/>
        <v/>
      </c>
      <c r="I142" s="3">
        <f t="shared" si="46"/>
        <v>0</v>
      </c>
      <c r="L142" s="35">
        <f t="shared" si="56"/>
        <v>1</v>
      </c>
      <c r="O142" s="27">
        <f t="shared" si="48"/>
        <v>0</v>
      </c>
      <c r="P142" s="3">
        <v>140</v>
      </c>
      <c r="Q142" s="3" t="e">
        <f t="shared" si="53"/>
        <v>#N/A</v>
      </c>
      <c r="R142" s="3" t="e">
        <f t="shared" si="54"/>
        <v>#N/A</v>
      </c>
      <c r="T142" s="46" t="str">
        <f t="shared" si="49"/>
        <v/>
      </c>
      <c r="U142" s="48" t="str">
        <f t="shared" si="50"/>
        <v/>
      </c>
      <c r="W142" s="56">
        <f t="shared" si="39"/>
        <v>0</v>
      </c>
      <c r="X142" s="57" t="str">
        <f t="shared" si="40"/>
        <v/>
      </c>
      <c r="Y142" s="58">
        <f t="shared" si="41"/>
        <v>0</v>
      </c>
      <c r="AA142" s="62" t="str">
        <f t="shared" si="55"/>
        <v/>
      </c>
    </row>
    <row r="143" spans="3:27">
      <c r="C143" s="82"/>
      <c r="E143" s="30" t="str">
        <f t="shared" si="51"/>
        <v>00:00:00</v>
      </c>
      <c r="F143" s="36" t="str">
        <f t="shared" si="43"/>
        <v/>
      </c>
      <c r="G143" s="36">
        <f t="shared" si="44"/>
        <v>0</v>
      </c>
      <c r="H143" s="3" t="str">
        <f t="shared" si="45"/>
        <v/>
      </c>
      <c r="I143" s="3">
        <f t="shared" si="46"/>
        <v>0</v>
      </c>
      <c r="L143" s="35">
        <f t="shared" si="56"/>
        <v>1</v>
      </c>
      <c r="O143" s="27">
        <f t="shared" si="48"/>
        <v>0</v>
      </c>
      <c r="P143" s="3">
        <v>141</v>
      </c>
      <c r="Q143" s="3" t="e">
        <f t="shared" si="53"/>
        <v>#N/A</v>
      </c>
      <c r="R143" s="3" t="e">
        <f t="shared" si="54"/>
        <v>#N/A</v>
      </c>
      <c r="T143" s="46" t="str">
        <f t="shared" si="49"/>
        <v/>
      </c>
      <c r="U143" s="48" t="str">
        <f t="shared" si="50"/>
        <v/>
      </c>
      <c r="W143" s="56">
        <f t="shared" si="39"/>
        <v>0</v>
      </c>
      <c r="X143" s="57" t="str">
        <f t="shared" si="40"/>
        <v/>
      </c>
      <c r="Y143" s="58">
        <f t="shared" si="41"/>
        <v>0</v>
      </c>
      <c r="AA143" s="62" t="str">
        <f t="shared" si="55"/>
        <v/>
      </c>
    </row>
    <row r="144" spans="3:27">
      <c r="C144" s="82"/>
      <c r="E144" s="30" t="str">
        <f t="shared" si="51"/>
        <v>00:00:00</v>
      </c>
      <c r="F144" s="36" t="str">
        <f t="shared" si="43"/>
        <v/>
      </c>
      <c r="G144" s="36">
        <f t="shared" si="44"/>
        <v>0</v>
      </c>
      <c r="H144" s="3" t="str">
        <f t="shared" si="45"/>
        <v/>
      </c>
      <c r="I144" s="3">
        <f t="shared" si="46"/>
        <v>0</v>
      </c>
      <c r="L144" s="35">
        <f t="shared" si="56"/>
        <v>1</v>
      </c>
      <c r="O144" s="27">
        <f t="shared" si="48"/>
        <v>0</v>
      </c>
      <c r="P144" s="3">
        <v>142</v>
      </c>
      <c r="Q144" s="3" t="e">
        <f t="shared" si="53"/>
        <v>#N/A</v>
      </c>
      <c r="R144" s="3" t="e">
        <f t="shared" si="54"/>
        <v>#N/A</v>
      </c>
      <c r="T144" s="46" t="str">
        <f t="shared" si="49"/>
        <v/>
      </c>
      <c r="U144" s="48" t="str">
        <f t="shared" si="50"/>
        <v/>
      </c>
      <c r="W144" s="56">
        <f t="shared" si="39"/>
        <v>0</v>
      </c>
      <c r="X144" s="57" t="str">
        <f t="shared" si="40"/>
        <v/>
      </c>
      <c r="Y144" s="58">
        <f t="shared" si="41"/>
        <v>0</v>
      </c>
      <c r="AA144" s="62" t="str">
        <f t="shared" si="55"/>
        <v/>
      </c>
    </row>
    <row r="145" spans="3:27">
      <c r="C145" s="82"/>
      <c r="E145" s="30" t="str">
        <f t="shared" si="51"/>
        <v>00:00:00</v>
      </c>
      <c r="F145" s="36" t="str">
        <f t="shared" si="43"/>
        <v/>
      </c>
      <c r="G145" s="36">
        <f t="shared" si="44"/>
        <v>0</v>
      </c>
      <c r="H145" s="3" t="str">
        <f t="shared" si="45"/>
        <v/>
      </c>
      <c r="I145" s="3">
        <f t="shared" si="46"/>
        <v>0</v>
      </c>
      <c r="L145" s="35">
        <f t="shared" si="56"/>
        <v>1</v>
      </c>
      <c r="O145" s="27">
        <f t="shared" si="48"/>
        <v>0</v>
      </c>
      <c r="P145" s="3">
        <v>143</v>
      </c>
      <c r="Q145" s="3" t="e">
        <f t="shared" si="53"/>
        <v>#N/A</v>
      </c>
      <c r="R145" s="3" t="e">
        <f t="shared" si="54"/>
        <v>#N/A</v>
      </c>
      <c r="T145" s="46" t="str">
        <f t="shared" si="49"/>
        <v/>
      </c>
      <c r="U145" s="48" t="str">
        <f t="shared" si="50"/>
        <v/>
      </c>
      <c r="W145" s="56">
        <f t="shared" si="39"/>
        <v>0</v>
      </c>
      <c r="X145" s="57" t="str">
        <f t="shared" si="40"/>
        <v/>
      </c>
      <c r="Y145" s="58">
        <f t="shared" si="41"/>
        <v>0</v>
      </c>
      <c r="AA145" s="62" t="str">
        <f t="shared" si="55"/>
        <v/>
      </c>
    </row>
    <row r="146" spans="3:27">
      <c r="C146" s="82"/>
      <c r="E146" s="30" t="str">
        <f t="shared" si="51"/>
        <v>00:00:00</v>
      </c>
      <c r="F146" s="36" t="str">
        <f t="shared" si="43"/>
        <v/>
      </c>
      <c r="G146" s="36">
        <f t="shared" si="44"/>
        <v>0</v>
      </c>
      <c r="H146" s="3" t="str">
        <f t="shared" si="45"/>
        <v/>
      </c>
      <c r="I146" s="3">
        <f t="shared" si="46"/>
        <v>0</v>
      </c>
      <c r="L146" s="35">
        <f t="shared" si="56"/>
        <v>1</v>
      </c>
      <c r="O146" s="27">
        <f t="shared" si="48"/>
        <v>0</v>
      </c>
      <c r="P146" s="3">
        <v>144</v>
      </c>
      <c r="Q146" s="3" t="e">
        <f t="shared" si="53"/>
        <v>#N/A</v>
      </c>
      <c r="R146" s="3" t="e">
        <f t="shared" si="54"/>
        <v>#N/A</v>
      </c>
      <c r="T146" s="46" t="str">
        <f t="shared" si="49"/>
        <v/>
      </c>
      <c r="U146" s="48" t="str">
        <f t="shared" si="50"/>
        <v/>
      </c>
      <c r="W146" s="56">
        <f t="shared" si="39"/>
        <v>0</v>
      </c>
      <c r="X146" s="57" t="str">
        <f t="shared" si="40"/>
        <v/>
      </c>
      <c r="Y146" s="58">
        <f t="shared" si="41"/>
        <v>0</v>
      </c>
      <c r="AA146" s="62" t="str">
        <f t="shared" si="55"/>
        <v/>
      </c>
    </row>
    <row r="147" spans="3:27">
      <c r="C147" s="82"/>
      <c r="E147" s="30" t="str">
        <f t="shared" si="51"/>
        <v>00:00:00</v>
      </c>
      <c r="F147" s="36" t="str">
        <f t="shared" si="43"/>
        <v/>
      </c>
      <c r="G147" s="36">
        <f t="shared" si="44"/>
        <v>0</v>
      </c>
      <c r="H147" s="3" t="str">
        <f t="shared" si="45"/>
        <v/>
      </c>
      <c r="I147" s="3">
        <f t="shared" si="46"/>
        <v>0</v>
      </c>
      <c r="L147" s="35">
        <f t="shared" si="56"/>
        <v>1</v>
      </c>
      <c r="O147" s="27">
        <f t="shared" si="48"/>
        <v>0</v>
      </c>
      <c r="P147" s="3">
        <v>145</v>
      </c>
      <c r="Q147" s="3" t="e">
        <f t="shared" si="53"/>
        <v>#N/A</v>
      </c>
      <c r="R147" s="3" t="e">
        <f t="shared" si="54"/>
        <v>#N/A</v>
      </c>
      <c r="T147" s="46" t="str">
        <f t="shared" si="49"/>
        <v/>
      </c>
      <c r="U147" s="48" t="str">
        <f t="shared" si="50"/>
        <v/>
      </c>
      <c r="W147" s="56">
        <f t="shared" si="39"/>
        <v>0</v>
      </c>
      <c r="X147" s="57" t="str">
        <f t="shared" si="40"/>
        <v/>
      </c>
      <c r="Y147" s="58">
        <f t="shared" si="41"/>
        <v>0</v>
      </c>
      <c r="AA147" s="62" t="str">
        <f t="shared" si="55"/>
        <v/>
      </c>
    </row>
    <row r="148" spans="3:27">
      <c r="C148" s="82"/>
      <c r="E148" s="30" t="str">
        <f t="shared" si="51"/>
        <v>00:00:00</v>
      </c>
      <c r="F148" s="36" t="str">
        <f t="shared" si="43"/>
        <v/>
      </c>
      <c r="G148" s="36">
        <f t="shared" si="44"/>
        <v>0</v>
      </c>
      <c r="H148" s="3" t="str">
        <f t="shared" si="45"/>
        <v/>
      </c>
      <c r="I148" s="3">
        <f t="shared" si="46"/>
        <v>0</v>
      </c>
      <c r="L148" s="35">
        <f t="shared" si="56"/>
        <v>1</v>
      </c>
      <c r="O148" s="27">
        <f t="shared" si="48"/>
        <v>0</v>
      </c>
      <c r="P148" s="3">
        <v>146</v>
      </c>
      <c r="Q148" s="3" t="e">
        <f t="shared" si="53"/>
        <v>#N/A</v>
      </c>
      <c r="R148" s="3" t="e">
        <f t="shared" si="54"/>
        <v>#N/A</v>
      </c>
      <c r="T148" s="46" t="str">
        <f t="shared" si="49"/>
        <v/>
      </c>
      <c r="U148" s="48" t="str">
        <f t="shared" si="50"/>
        <v/>
      </c>
      <c r="W148" s="56">
        <f t="shared" si="39"/>
        <v>0</v>
      </c>
      <c r="X148" s="57" t="str">
        <f t="shared" si="40"/>
        <v/>
      </c>
      <c r="Y148" s="58">
        <f t="shared" si="41"/>
        <v>0</v>
      </c>
      <c r="AA148" s="62" t="str">
        <f t="shared" si="55"/>
        <v/>
      </c>
    </row>
    <row r="149" spans="3:27">
      <c r="C149" s="82"/>
      <c r="E149" s="30" t="str">
        <f t="shared" si="51"/>
        <v>00:00:00</v>
      </c>
      <c r="F149" s="36" t="str">
        <f t="shared" si="43"/>
        <v/>
      </c>
      <c r="G149" s="36">
        <f t="shared" si="44"/>
        <v>0</v>
      </c>
      <c r="H149" s="3" t="str">
        <f t="shared" si="45"/>
        <v/>
      </c>
      <c r="I149" s="3">
        <f t="shared" si="46"/>
        <v>0</v>
      </c>
      <c r="L149" s="35">
        <f t="shared" si="56"/>
        <v>1</v>
      </c>
      <c r="O149" s="27">
        <f t="shared" si="48"/>
        <v>0</v>
      </c>
      <c r="P149" s="3">
        <v>147</v>
      </c>
      <c r="Q149" s="3" t="e">
        <f t="shared" si="53"/>
        <v>#N/A</v>
      </c>
      <c r="R149" s="3" t="e">
        <f t="shared" si="54"/>
        <v>#N/A</v>
      </c>
      <c r="T149" s="46" t="str">
        <f t="shared" si="49"/>
        <v/>
      </c>
      <c r="U149" s="48" t="str">
        <f t="shared" si="50"/>
        <v/>
      </c>
      <c r="W149" s="56">
        <f t="shared" si="39"/>
        <v>0</v>
      </c>
      <c r="X149" s="57" t="str">
        <f t="shared" si="40"/>
        <v/>
      </c>
      <c r="Y149" s="58">
        <f t="shared" si="41"/>
        <v>0</v>
      </c>
      <c r="AA149" s="62" t="str">
        <f t="shared" si="55"/>
        <v/>
      </c>
    </row>
    <row r="150" spans="3:27">
      <c r="C150" s="82"/>
      <c r="E150" s="30" t="str">
        <f t="shared" si="51"/>
        <v>00:00:00</v>
      </c>
      <c r="F150" s="36" t="str">
        <f t="shared" si="43"/>
        <v/>
      </c>
      <c r="G150" s="36">
        <f t="shared" si="44"/>
        <v>0</v>
      </c>
      <c r="H150" s="3" t="str">
        <f t="shared" si="45"/>
        <v/>
      </c>
      <c r="I150" s="3">
        <f t="shared" si="46"/>
        <v>0</v>
      </c>
      <c r="L150" s="35">
        <f t="shared" si="56"/>
        <v>1</v>
      </c>
      <c r="O150" s="27">
        <f t="shared" si="48"/>
        <v>0</v>
      </c>
      <c r="P150" s="3">
        <v>148</v>
      </c>
      <c r="Q150" s="3" t="e">
        <f t="shared" si="53"/>
        <v>#N/A</v>
      </c>
      <c r="R150" s="3" t="e">
        <f t="shared" si="54"/>
        <v>#N/A</v>
      </c>
      <c r="T150" s="46" t="str">
        <f t="shared" si="49"/>
        <v/>
      </c>
      <c r="U150" s="48" t="str">
        <f t="shared" si="50"/>
        <v/>
      </c>
      <c r="W150" s="56">
        <f t="shared" si="39"/>
        <v>0</v>
      </c>
      <c r="X150" s="57" t="str">
        <f t="shared" si="40"/>
        <v/>
      </c>
      <c r="Y150" s="58">
        <f t="shared" si="41"/>
        <v>0</v>
      </c>
      <c r="AA150" s="62" t="str">
        <f t="shared" si="55"/>
        <v/>
      </c>
    </row>
    <row r="151" spans="3:27">
      <c r="C151" s="82"/>
      <c r="E151" s="30" t="str">
        <f t="shared" si="51"/>
        <v>00:00:00</v>
      </c>
      <c r="F151" s="36" t="str">
        <f t="shared" si="43"/>
        <v/>
      </c>
      <c r="G151" s="36">
        <f t="shared" si="44"/>
        <v>0</v>
      </c>
      <c r="H151" s="3" t="str">
        <f t="shared" si="45"/>
        <v/>
      </c>
      <c r="I151" s="3">
        <f t="shared" si="46"/>
        <v>0</v>
      </c>
      <c r="L151" s="35">
        <f t="shared" si="56"/>
        <v>1</v>
      </c>
      <c r="O151" s="27">
        <f t="shared" si="48"/>
        <v>0</v>
      </c>
      <c r="P151" s="3">
        <v>149</v>
      </c>
      <c r="Q151" s="3" t="e">
        <f t="shared" si="53"/>
        <v>#N/A</v>
      </c>
      <c r="R151" s="3" t="e">
        <f t="shared" si="54"/>
        <v>#N/A</v>
      </c>
      <c r="T151" s="46" t="str">
        <f t="shared" si="49"/>
        <v/>
      </c>
      <c r="U151" s="48" t="str">
        <f t="shared" si="50"/>
        <v/>
      </c>
      <c r="W151" s="56">
        <f t="shared" si="39"/>
        <v>0</v>
      </c>
      <c r="X151" s="57" t="str">
        <f t="shared" si="40"/>
        <v/>
      </c>
      <c r="Y151" s="58">
        <f t="shared" si="41"/>
        <v>0</v>
      </c>
      <c r="AA151" s="62" t="str">
        <f t="shared" si="55"/>
        <v/>
      </c>
    </row>
    <row r="152" spans="3:27">
      <c r="C152" s="82"/>
      <c r="E152" s="30" t="str">
        <f t="shared" si="51"/>
        <v>00:00:00</v>
      </c>
      <c r="F152" s="36" t="str">
        <f t="shared" si="43"/>
        <v/>
      </c>
      <c r="G152" s="36">
        <f t="shared" si="44"/>
        <v>0</v>
      </c>
      <c r="H152" s="3" t="str">
        <f t="shared" si="45"/>
        <v/>
      </c>
      <c r="I152" s="3">
        <f t="shared" si="46"/>
        <v>0</v>
      </c>
      <c r="L152" s="35">
        <f t="shared" si="56"/>
        <v>1</v>
      </c>
      <c r="O152" s="27">
        <f t="shared" si="48"/>
        <v>0</v>
      </c>
      <c r="P152" s="3">
        <v>150</v>
      </c>
      <c r="Q152" s="3" t="e">
        <f t="shared" si="53"/>
        <v>#N/A</v>
      </c>
      <c r="R152" s="3" t="e">
        <f t="shared" si="54"/>
        <v>#N/A</v>
      </c>
      <c r="T152" s="46" t="str">
        <f t="shared" si="49"/>
        <v/>
      </c>
      <c r="U152" s="48" t="str">
        <f t="shared" si="50"/>
        <v/>
      </c>
      <c r="W152" s="56">
        <f t="shared" si="39"/>
        <v>0</v>
      </c>
      <c r="X152" s="57" t="str">
        <f t="shared" si="40"/>
        <v/>
      </c>
      <c r="Y152" s="58">
        <f t="shared" si="41"/>
        <v>0</v>
      </c>
      <c r="AA152" s="62" t="str">
        <f t="shared" si="55"/>
        <v/>
      </c>
    </row>
    <row r="153" spans="3:27">
      <c r="C153" s="82"/>
      <c r="E153" s="30" t="str">
        <f t="shared" si="51"/>
        <v>00:00:00</v>
      </c>
      <c r="F153" s="36" t="str">
        <f t="shared" si="43"/>
        <v/>
      </c>
      <c r="G153" s="36">
        <f t="shared" si="44"/>
        <v>0</v>
      </c>
      <c r="H153" s="3" t="str">
        <f t="shared" si="45"/>
        <v/>
      </c>
      <c r="I153" s="3">
        <f t="shared" si="46"/>
        <v>0</v>
      </c>
      <c r="L153" s="35">
        <f t="shared" si="56"/>
        <v>1</v>
      </c>
      <c r="O153" s="27">
        <f t="shared" si="48"/>
        <v>0</v>
      </c>
      <c r="P153" s="3">
        <v>151</v>
      </c>
      <c r="Q153" s="3" t="e">
        <f t="shared" si="53"/>
        <v>#N/A</v>
      </c>
      <c r="R153" s="3" t="e">
        <f t="shared" si="54"/>
        <v>#N/A</v>
      </c>
      <c r="T153" s="46" t="str">
        <f t="shared" si="49"/>
        <v/>
      </c>
      <c r="U153" s="48" t="str">
        <f t="shared" si="50"/>
        <v/>
      </c>
      <c r="W153" s="56">
        <f t="shared" si="39"/>
        <v>0</v>
      </c>
      <c r="X153" s="57" t="str">
        <f t="shared" si="40"/>
        <v/>
      </c>
      <c r="Y153" s="58">
        <f t="shared" si="41"/>
        <v>0</v>
      </c>
      <c r="AA153" s="62" t="str">
        <f t="shared" si="55"/>
        <v/>
      </c>
    </row>
    <row r="154" spans="3:27">
      <c r="C154" s="82"/>
      <c r="E154" s="30" t="str">
        <f t="shared" si="51"/>
        <v>00:00:00</v>
      </c>
      <c r="F154" s="36" t="str">
        <f t="shared" si="43"/>
        <v/>
      </c>
      <c r="G154" s="36">
        <f t="shared" si="44"/>
        <v>0</v>
      </c>
      <c r="H154" s="3" t="str">
        <f t="shared" si="45"/>
        <v/>
      </c>
      <c r="I154" s="3">
        <f t="shared" si="46"/>
        <v>0</v>
      </c>
      <c r="L154" s="35">
        <f t="shared" si="56"/>
        <v>1</v>
      </c>
      <c r="O154" s="27">
        <f t="shared" si="48"/>
        <v>0</v>
      </c>
      <c r="P154" s="3">
        <v>152</v>
      </c>
      <c r="Q154" s="3" t="e">
        <f t="shared" si="53"/>
        <v>#N/A</v>
      </c>
      <c r="R154" s="3" t="e">
        <f t="shared" si="54"/>
        <v>#N/A</v>
      </c>
      <c r="T154" s="46" t="str">
        <f t="shared" si="49"/>
        <v/>
      </c>
      <c r="U154" s="48" t="str">
        <f t="shared" si="50"/>
        <v/>
      </c>
      <c r="W154" s="56">
        <f t="shared" si="39"/>
        <v>0</v>
      </c>
      <c r="X154" s="57" t="str">
        <f t="shared" si="40"/>
        <v/>
      </c>
      <c r="Y154" s="58">
        <f t="shared" si="41"/>
        <v>0</v>
      </c>
      <c r="AA154" s="62" t="str">
        <f t="shared" si="55"/>
        <v/>
      </c>
    </row>
    <row r="155" spans="3:27">
      <c r="C155" s="82"/>
      <c r="E155" s="30" t="str">
        <f t="shared" si="51"/>
        <v>00:00:00</v>
      </c>
      <c r="F155" s="36" t="str">
        <f t="shared" si="43"/>
        <v/>
      </c>
      <c r="G155" s="36">
        <f t="shared" si="44"/>
        <v>0</v>
      </c>
      <c r="H155" s="3" t="str">
        <f t="shared" si="45"/>
        <v/>
      </c>
      <c r="I155" s="3">
        <f t="shared" si="46"/>
        <v>0</v>
      </c>
      <c r="L155" s="35">
        <f t="shared" si="56"/>
        <v>1</v>
      </c>
      <c r="O155" s="27">
        <f t="shared" si="48"/>
        <v>0</v>
      </c>
      <c r="P155" s="3">
        <v>153</v>
      </c>
      <c r="Q155" s="3" t="e">
        <f t="shared" si="53"/>
        <v>#N/A</v>
      </c>
      <c r="R155" s="3" t="e">
        <f t="shared" si="54"/>
        <v>#N/A</v>
      </c>
      <c r="T155" s="46" t="str">
        <f t="shared" si="49"/>
        <v/>
      </c>
      <c r="U155" s="48" t="str">
        <f t="shared" si="50"/>
        <v/>
      </c>
      <c r="W155" s="56">
        <f t="shared" si="39"/>
        <v>0</v>
      </c>
      <c r="X155" s="57" t="str">
        <f t="shared" si="40"/>
        <v/>
      </c>
      <c r="Y155" s="58">
        <f t="shared" si="41"/>
        <v>0</v>
      </c>
      <c r="AA155" s="62" t="str">
        <f t="shared" si="55"/>
        <v/>
      </c>
    </row>
    <row r="156" spans="3:27">
      <c r="C156" s="82"/>
      <c r="E156" s="30" t="str">
        <f t="shared" si="51"/>
        <v>00:00:00</v>
      </c>
      <c r="F156" s="36" t="str">
        <f t="shared" si="43"/>
        <v/>
      </c>
      <c r="G156" s="36">
        <f t="shared" si="44"/>
        <v>0</v>
      </c>
      <c r="H156" s="3" t="str">
        <f t="shared" si="45"/>
        <v/>
      </c>
      <c r="I156" s="3">
        <f t="shared" si="46"/>
        <v>0</v>
      </c>
      <c r="L156" s="35">
        <f t="shared" si="56"/>
        <v>1</v>
      </c>
      <c r="O156" s="27">
        <f t="shared" si="48"/>
        <v>0</v>
      </c>
      <c r="P156" s="3">
        <v>154</v>
      </c>
      <c r="Q156" s="3" t="e">
        <f t="shared" si="53"/>
        <v>#N/A</v>
      </c>
      <c r="R156" s="3" t="e">
        <f t="shared" si="54"/>
        <v>#N/A</v>
      </c>
      <c r="T156" s="46" t="str">
        <f t="shared" si="49"/>
        <v/>
      </c>
      <c r="U156" s="48" t="str">
        <f t="shared" si="50"/>
        <v/>
      </c>
      <c r="W156" s="56">
        <f t="shared" si="39"/>
        <v>0</v>
      </c>
      <c r="X156" s="57" t="str">
        <f t="shared" si="40"/>
        <v/>
      </c>
      <c r="Y156" s="58">
        <f t="shared" si="41"/>
        <v>0</v>
      </c>
      <c r="AA156" s="62" t="str">
        <f t="shared" si="55"/>
        <v/>
      </c>
    </row>
    <row r="157" spans="3:27">
      <c r="C157" s="82"/>
      <c r="E157" s="30" t="str">
        <f t="shared" si="51"/>
        <v>00:00:00</v>
      </c>
      <c r="F157" s="36" t="str">
        <f t="shared" si="43"/>
        <v/>
      </c>
      <c r="G157" s="36">
        <f t="shared" si="44"/>
        <v>0</v>
      </c>
      <c r="H157" s="3" t="str">
        <f t="shared" si="45"/>
        <v/>
      </c>
      <c r="I157" s="3">
        <f t="shared" si="46"/>
        <v>0</v>
      </c>
      <c r="L157" s="35">
        <f t="shared" si="56"/>
        <v>1</v>
      </c>
      <c r="O157" s="27">
        <f t="shared" si="48"/>
        <v>0</v>
      </c>
      <c r="P157" s="3">
        <v>155</v>
      </c>
      <c r="Q157" s="3" t="e">
        <f t="shared" si="53"/>
        <v>#N/A</v>
      </c>
      <c r="R157" s="3" t="e">
        <f t="shared" si="54"/>
        <v>#N/A</v>
      </c>
      <c r="T157" s="46" t="str">
        <f t="shared" si="49"/>
        <v/>
      </c>
      <c r="U157" s="48" t="str">
        <f t="shared" si="50"/>
        <v/>
      </c>
      <c r="W157" s="56">
        <f t="shared" si="39"/>
        <v>0</v>
      </c>
      <c r="X157" s="57" t="str">
        <f t="shared" si="40"/>
        <v/>
      </c>
      <c r="Y157" s="58">
        <f t="shared" si="41"/>
        <v>0</v>
      </c>
      <c r="AA157" s="62" t="str">
        <f t="shared" si="55"/>
        <v/>
      </c>
    </row>
    <row r="158" spans="3:27">
      <c r="C158" s="82"/>
      <c r="E158" s="30" t="str">
        <f t="shared" si="51"/>
        <v>00:00:00</v>
      </c>
      <c r="F158" s="36" t="str">
        <f t="shared" si="43"/>
        <v/>
      </c>
      <c r="G158" s="36">
        <f t="shared" si="44"/>
        <v>0</v>
      </c>
      <c r="H158" s="3" t="str">
        <f t="shared" si="45"/>
        <v/>
      </c>
      <c r="I158" s="3">
        <f t="shared" si="46"/>
        <v>0</v>
      </c>
      <c r="L158" s="35">
        <f t="shared" si="56"/>
        <v>1</v>
      </c>
      <c r="O158" s="27">
        <f t="shared" si="48"/>
        <v>0</v>
      </c>
      <c r="P158" s="3">
        <v>156</v>
      </c>
      <c r="Q158" s="3" t="e">
        <f t="shared" si="53"/>
        <v>#N/A</v>
      </c>
      <c r="R158" s="3" t="e">
        <f t="shared" si="54"/>
        <v>#N/A</v>
      </c>
      <c r="T158" s="46" t="str">
        <f t="shared" si="49"/>
        <v/>
      </c>
      <c r="U158" s="48" t="str">
        <f t="shared" si="50"/>
        <v/>
      </c>
      <c r="W158" s="56">
        <f t="shared" si="39"/>
        <v>0</v>
      </c>
      <c r="X158" s="57" t="str">
        <f t="shared" si="40"/>
        <v/>
      </c>
      <c r="Y158" s="58">
        <f t="shared" si="41"/>
        <v>0</v>
      </c>
      <c r="AA158" s="62" t="str">
        <f t="shared" si="55"/>
        <v/>
      </c>
    </row>
    <row r="159" spans="3:27">
      <c r="C159" s="82"/>
      <c r="E159" s="30" t="str">
        <f t="shared" si="51"/>
        <v>00:00:00</v>
      </c>
      <c r="F159" s="36" t="str">
        <f t="shared" si="43"/>
        <v/>
      </c>
      <c r="G159" s="36">
        <f t="shared" si="44"/>
        <v>0</v>
      </c>
      <c r="H159" s="3" t="str">
        <f t="shared" si="45"/>
        <v/>
      </c>
      <c r="I159" s="3">
        <f t="shared" si="46"/>
        <v>0</v>
      </c>
      <c r="L159" s="35">
        <f t="shared" si="56"/>
        <v>1</v>
      </c>
      <c r="O159" s="27">
        <f t="shared" si="48"/>
        <v>0</v>
      </c>
      <c r="P159" s="3">
        <v>157</v>
      </c>
      <c r="Q159" s="3" t="e">
        <f t="shared" si="53"/>
        <v>#N/A</v>
      </c>
      <c r="R159" s="3" t="e">
        <f t="shared" si="54"/>
        <v>#N/A</v>
      </c>
      <c r="T159" s="46" t="str">
        <f t="shared" si="49"/>
        <v/>
      </c>
      <c r="U159" s="48" t="str">
        <f t="shared" si="50"/>
        <v/>
      </c>
      <c r="W159" s="56">
        <f t="shared" si="39"/>
        <v>0</v>
      </c>
      <c r="X159" s="57" t="str">
        <f t="shared" si="40"/>
        <v/>
      </c>
      <c r="Y159" s="58">
        <f t="shared" si="41"/>
        <v>0</v>
      </c>
      <c r="AA159" s="62" t="str">
        <f t="shared" si="55"/>
        <v/>
      </c>
    </row>
    <row r="160" spans="3:27">
      <c r="C160" s="82"/>
      <c r="E160" s="30" t="str">
        <f t="shared" si="51"/>
        <v>00:00:00</v>
      </c>
      <c r="F160" s="36" t="str">
        <f t="shared" si="43"/>
        <v/>
      </c>
      <c r="G160" s="36">
        <f t="shared" si="44"/>
        <v>0</v>
      </c>
      <c r="H160" s="3" t="str">
        <f t="shared" si="45"/>
        <v/>
      </c>
      <c r="I160" s="3">
        <f t="shared" si="46"/>
        <v>0</v>
      </c>
      <c r="L160" s="35">
        <f t="shared" si="56"/>
        <v>1</v>
      </c>
      <c r="O160" s="27">
        <f t="shared" si="48"/>
        <v>0</v>
      </c>
      <c r="P160" s="3">
        <v>158</v>
      </c>
      <c r="Q160" s="3" t="e">
        <f t="shared" si="53"/>
        <v>#N/A</v>
      </c>
      <c r="R160" s="3" t="e">
        <f t="shared" si="54"/>
        <v>#N/A</v>
      </c>
      <c r="T160" s="46" t="str">
        <f t="shared" si="49"/>
        <v/>
      </c>
      <c r="U160" s="48" t="str">
        <f t="shared" si="50"/>
        <v/>
      </c>
      <c r="W160" s="56">
        <f t="shared" si="39"/>
        <v>0</v>
      </c>
      <c r="X160" s="57" t="str">
        <f t="shared" si="40"/>
        <v/>
      </c>
      <c r="Y160" s="58">
        <f t="shared" si="41"/>
        <v>0</v>
      </c>
      <c r="AA160" s="62" t="str">
        <f t="shared" si="55"/>
        <v/>
      </c>
    </row>
    <row r="161" spans="3:27">
      <c r="C161" s="82"/>
      <c r="E161" s="30" t="str">
        <f t="shared" si="51"/>
        <v>00:00:00</v>
      </c>
      <c r="F161" s="36" t="str">
        <f t="shared" si="43"/>
        <v/>
      </c>
      <c r="G161" s="36">
        <f t="shared" si="44"/>
        <v>0</v>
      </c>
      <c r="H161" s="3" t="str">
        <f t="shared" si="45"/>
        <v/>
      </c>
      <c r="I161" s="3">
        <f t="shared" si="46"/>
        <v>0</v>
      </c>
      <c r="L161" s="35">
        <f t="shared" si="56"/>
        <v>1</v>
      </c>
      <c r="O161" s="27">
        <f t="shared" si="48"/>
        <v>0</v>
      </c>
      <c r="P161" s="3">
        <v>159</v>
      </c>
      <c r="Q161" s="3" t="e">
        <f t="shared" si="53"/>
        <v>#N/A</v>
      </c>
      <c r="R161" s="3" t="e">
        <f t="shared" si="54"/>
        <v>#N/A</v>
      </c>
      <c r="T161" s="46" t="str">
        <f t="shared" si="49"/>
        <v/>
      </c>
      <c r="U161" s="48" t="str">
        <f t="shared" si="50"/>
        <v/>
      </c>
      <c r="W161" s="56">
        <f t="shared" si="39"/>
        <v>0</v>
      </c>
      <c r="X161" s="57" t="str">
        <f t="shared" si="40"/>
        <v/>
      </c>
      <c r="Y161" s="58">
        <f t="shared" si="41"/>
        <v>0</v>
      </c>
      <c r="AA161" s="62" t="str">
        <f t="shared" si="55"/>
        <v/>
      </c>
    </row>
    <row r="162" spans="3:27">
      <c r="C162" s="82"/>
      <c r="E162" s="30" t="str">
        <f t="shared" si="51"/>
        <v>00:00:00</v>
      </c>
      <c r="F162" s="36" t="str">
        <f t="shared" si="43"/>
        <v/>
      </c>
      <c r="G162" s="36">
        <f t="shared" si="44"/>
        <v>0</v>
      </c>
      <c r="H162" s="3" t="str">
        <f t="shared" si="45"/>
        <v/>
      </c>
      <c r="I162" s="3">
        <f t="shared" si="46"/>
        <v>0</v>
      </c>
      <c r="L162" s="35">
        <f t="shared" si="56"/>
        <v>1</v>
      </c>
      <c r="O162" s="27">
        <f t="shared" si="48"/>
        <v>0</v>
      </c>
      <c r="P162" s="3">
        <v>160</v>
      </c>
      <c r="Q162" s="3" t="e">
        <f t="shared" si="53"/>
        <v>#N/A</v>
      </c>
      <c r="R162" s="3" t="e">
        <f t="shared" si="54"/>
        <v>#N/A</v>
      </c>
      <c r="T162" s="46" t="str">
        <f t="shared" si="49"/>
        <v/>
      </c>
      <c r="U162" s="48" t="str">
        <f t="shared" si="50"/>
        <v/>
      </c>
      <c r="W162" s="56">
        <f t="shared" si="39"/>
        <v>0</v>
      </c>
      <c r="X162" s="57" t="str">
        <f t="shared" si="40"/>
        <v/>
      </c>
      <c r="Y162" s="58">
        <f t="shared" si="41"/>
        <v>0</v>
      </c>
      <c r="AA162" s="62" t="str">
        <f t="shared" si="55"/>
        <v/>
      </c>
    </row>
    <row r="163" spans="3:27">
      <c r="C163" s="82"/>
      <c r="E163" s="30" t="str">
        <f t="shared" si="51"/>
        <v>00:00:00</v>
      </c>
      <c r="F163" s="36" t="str">
        <f t="shared" si="43"/>
        <v/>
      </c>
      <c r="G163" s="36">
        <f t="shared" si="44"/>
        <v>0</v>
      </c>
      <c r="H163" s="3" t="str">
        <f t="shared" si="45"/>
        <v/>
      </c>
      <c r="I163" s="3">
        <f t="shared" si="46"/>
        <v>0</v>
      </c>
      <c r="L163" s="35">
        <f t="shared" si="56"/>
        <v>1</v>
      </c>
      <c r="O163" s="27">
        <f t="shared" si="48"/>
        <v>0</v>
      </c>
      <c r="P163" s="3">
        <v>161</v>
      </c>
      <c r="Q163" s="3" t="e">
        <f t="shared" si="53"/>
        <v>#N/A</v>
      </c>
      <c r="R163" s="3" t="e">
        <f t="shared" si="54"/>
        <v>#N/A</v>
      </c>
      <c r="T163" s="46" t="str">
        <f t="shared" si="49"/>
        <v/>
      </c>
      <c r="U163" s="48" t="str">
        <f t="shared" si="50"/>
        <v/>
      </c>
      <c r="W163" s="56">
        <f t="shared" si="39"/>
        <v>0</v>
      </c>
      <c r="X163" s="57" t="str">
        <f t="shared" si="40"/>
        <v/>
      </c>
      <c r="Y163" s="58">
        <f t="shared" si="41"/>
        <v>0</v>
      </c>
      <c r="AA163" s="62" t="str">
        <f t="shared" si="55"/>
        <v/>
      </c>
    </row>
    <row r="164" spans="3:27">
      <c r="C164" s="82"/>
      <c r="E164" s="30" t="str">
        <f t="shared" si="51"/>
        <v>00:00:00</v>
      </c>
      <c r="F164" s="36" t="str">
        <f t="shared" si="43"/>
        <v/>
      </c>
      <c r="G164" s="36">
        <f t="shared" si="44"/>
        <v>0</v>
      </c>
      <c r="H164" s="3" t="str">
        <f t="shared" si="45"/>
        <v/>
      </c>
      <c r="I164" s="3">
        <f t="shared" si="46"/>
        <v>0</v>
      </c>
      <c r="L164" s="35">
        <f t="shared" si="56"/>
        <v>1</v>
      </c>
      <c r="O164" s="27">
        <f t="shared" si="48"/>
        <v>0</v>
      </c>
      <c r="P164" s="3">
        <v>162</v>
      </c>
      <c r="Q164" s="3" t="e">
        <f t="shared" si="53"/>
        <v>#N/A</v>
      </c>
      <c r="R164" s="3" t="e">
        <f t="shared" si="54"/>
        <v>#N/A</v>
      </c>
      <c r="T164" s="46" t="str">
        <f t="shared" si="49"/>
        <v/>
      </c>
      <c r="U164" s="48" t="str">
        <f t="shared" si="50"/>
        <v/>
      </c>
      <c r="W164" s="56">
        <f t="shared" si="39"/>
        <v>0</v>
      </c>
      <c r="X164" s="57" t="str">
        <f t="shared" si="40"/>
        <v/>
      </c>
      <c r="Y164" s="58">
        <f t="shared" si="41"/>
        <v>0</v>
      </c>
      <c r="AA164" s="62" t="str">
        <f t="shared" si="55"/>
        <v/>
      </c>
    </row>
    <row r="165" spans="3:27">
      <c r="C165" s="82"/>
      <c r="E165" s="30" t="str">
        <f t="shared" si="51"/>
        <v>00:00:00</v>
      </c>
      <c r="F165" s="36" t="str">
        <f t="shared" si="43"/>
        <v/>
      </c>
      <c r="G165" s="36">
        <f t="shared" si="44"/>
        <v>0</v>
      </c>
      <c r="H165" s="3" t="str">
        <f t="shared" si="45"/>
        <v/>
      </c>
      <c r="I165" s="3">
        <f t="shared" si="46"/>
        <v>0</v>
      </c>
      <c r="L165" s="35">
        <f t="shared" si="56"/>
        <v>1</v>
      </c>
      <c r="O165" s="27">
        <f t="shared" si="48"/>
        <v>0</v>
      </c>
      <c r="P165" s="3">
        <v>163</v>
      </c>
      <c r="Q165" s="3" t="e">
        <f t="shared" si="53"/>
        <v>#N/A</v>
      </c>
      <c r="R165" s="3" t="e">
        <f t="shared" si="54"/>
        <v>#N/A</v>
      </c>
      <c r="T165" s="46" t="str">
        <f t="shared" si="49"/>
        <v/>
      </c>
      <c r="U165" s="48" t="str">
        <f t="shared" si="50"/>
        <v/>
      </c>
      <c r="W165" s="56">
        <f t="shared" si="39"/>
        <v>0</v>
      </c>
      <c r="X165" s="57" t="str">
        <f t="shared" si="40"/>
        <v/>
      </c>
      <c r="Y165" s="58">
        <f t="shared" si="41"/>
        <v>0</v>
      </c>
      <c r="AA165" s="62" t="str">
        <f t="shared" si="55"/>
        <v/>
      </c>
    </row>
    <row r="166" spans="3:27">
      <c r="C166" s="82"/>
      <c r="E166" s="30" t="str">
        <f t="shared" si="51"/>
        <v>00:00:00</v>
      </c>
      <c r="F166" s="36" t="str">
        <f t="shared" si="43"/>
        <v/>
      </c>
      <c r="G166" s="36">
        <f t="shared" si="44"/>
        <v>0</v>
      </c>
      <c r="H166" s="3" t="str">
        <f t="shared" si="45"/>
        <v/>
      </c>
      <c r="I166" s="3">
        <f t="shared" si="46"/>
        <v>0</v>
      </c>
      <c r="L166" s="35">
        <f t="shared" si="56"/>
        <v>1</v>
      </c>
      <c r="O166" s="27">
        <f t="shared" si="48"/>
        <v>0</v>
      </c>
      <c r="P166" s="3">
        <v>164</v>
      </c>
      <c r="Q166" s="3" t="e">
        <f t="shared" si="53"/>
        <v>#N/A</v>
      </c>
      <c r="R166" s="3" t="e">
        <f t="shared" si="54"/>
        <v>#N/A</v>
      </c>
      <c r="T166" s="46" t="str">
        <f t="shared" si="49"/>
        <v/>
      </c>
      <c r="U166" s="48" t="str">
        <f t="shared" si="50"/>
        <v/>
      </c>
      <c r="W166" s="56">
        <f t="shared" si="39"/>
        <v>0</v>
      </c>
      <c r="X166" s="57" t="str">
        <f t="shared" si="40"/>
        <v/>
      </c>
      <c r="Y166" s="58">
        <f t="shared" si="41"/>
        <v>0</v>
      </c>
      <c r="AA166" s="62" t="str">
        <f t="shared" si="55"/>
        <v/>
      </c>
    </row>
    <row r="167" spans="3:27">
      <c r="C167" s="82"/>
      <c r="E167" s="30" t="str">
        <f t="shared" si="51"/>
        <v>00:00:00</v>
      </c>
      <c r="F167" s="36" t="str">
        <f t="shared" si="43"/>
        <v/>
      </c>
      <c r="G167" s="36">
        <f t="shared" si="44"/>
        <v>0</v>
      </c>
      <c r="H167" s="3" t="str">
        <f t="shared" si="45"/>
        <v/>
      </c>
      <c r="I167" s="3">
        <f t="shared" si="46"/>
        <v>0</v>
      </c>
      <c r="L167" s="35">
        <f t="shared" si="56"/>
        <v>1</v>
      </c>
      <c r="O167" s="27">
        <f t="shared" si="48"/>
        <v>0</v>
      </c>
      <c r="P167" s="3">
        <v>165</v>
      </c>
      <c r="Q167" s="3" t="e">
        <f t="shared" si="53"/>
        <v>#N/A</v>
      </c>
      <c r="R167" s="3" t="e">
        <f t="shared" si="54"/>
        <v>#N/A</v>
      </c>
      <c r="T167" s="46" t="str">
        <f t="shared" si="49"/>
        <v/>
      </c>
      <c r="U167" s="48" t="str">
        <f t="shared" si="50"/>
        <v/>
      </c>
      <c r="W167" s="56">
        <f t="shared" si="39"/>
        <v>0</v>
      </c>
      <c r="X167" s="57" t="str">
        <f t="shared" si="40"/>
        <v/>
      </c>
      <c r="Y167" s="58">
        <f t="shared" si="41"/>
        <v>0</v>
      </c>
      <c r="AA167" s="62" t="str">
        <f t="shared" si="55"/>
        <v/>
      </c>
    </row>
    <row r="168" spans="3:27">
      <c r="C168" s="82"/>
      <c r="E168" s="30" t="str">
        <f t="shared" si="51"/>
        <v>00:00:00</v>
      </c>
      <c r="F168" s="36" t="str">
        <f t="shared" si="43"/>
        <v/>
      </c>
      <c r="G168" s="36">
        <f t="shared" si="44"/>
        <v>0</v>
      </c>
      <c r="H168" s="3" t="str">
        <f t="shared" si="45"/>
        <v/>
      </c>
      <c r="I168" s="3">
        <f t="shared" si="46"/>
        <v>0</v>
      </c>
      <c r="L168" s="35">
        <f t="shared" si="56"/>
        <v>1</v>
      </c>
      <c r="O168" s="27">
        <f t="shared" si="48"/>
        <v>0</v>
      </c>
      <c r="P168" s="3">
        <v>166</v>
      </c>
      <c r="Q168" s="3" t="e">
        <f t="shared" si="53"/>
        <v>#N/A</v>
      </c>
      <c r="R168" s="3" t="e">
        <f t="shared" si="54"/>
        <v>#N/A</v>
      </c>
      <c r="T168" s="46" t="str">
        <f t="shared" si="49"/>
        <v/>
      </c>
      <c r="U168" s="48" t="str">
        <f t="shared" si="50"/>
        <v/>
      </c>
      <c r="W168" s="56">
        <f t="shared" si="39"/>
        <v>0</v>
      </c>
      <c r="X168" s="57" t="str">
        <f t="shared" si="40"/>
        <v/>
      </c>
      <c r="Y168" s="58">
        <f t="shared" si="41"/>
        <v>0</v>
      </c>
      <c r="AA168" s="62" t="str">
        <f t="shared" si="55"/>
        <v/>
      </c>
    </row>
    <row r="169" spans="3:27">
      <c r="C169" s="82"/>
      <c r="E169" s="30" t="str">
        <f t="shared" si="51"/>
        <v>00:00:00</v>
      </c>
      <c r="F169" s="36" t="str">
        <f t="shared" si="43"/>
        <v/>
      </c>
      <c r="G169" s="36">
        <f t="shared" si="44"/>
        <v>0</v>
      </c>
      <c r="H169" s="3" t="str">
        <f t="shared" si="45"/>
        <v/>
      </c>
      <c r="I169" s="3">
        <f t="shared" si="46"/>
        <v>0</v>
      </c>
      <c r="L169" s="35">
        <f t="shared" si="56"/>
        <v>1</v>
      </c>
      <c r="O169" s="27">
        <f t="shared" si="48"/>
        <v>0</v>
      </c>
      <c r="P169" s="3">
        <v>167</v>
      </c>
      <c r="Q169" s="3" t="e">
        <f t="shared" si="53"/>
        <v>#N/A</v>
      </c>
      <c r="R169" s="3" t="e">
        <f t="shared" si="54"/>
        <v>#N/A</v>
      </c>
      <c r="T169" s="46" t="str">
        <f t="shared" si="49"/>
        <v/>
      </c>
      <c r="U169" s="48" t="str">
        <f t="shared" si="50"/>
        <v/>
      </c>
      <c r="W169" s="56">
        <f t="shared" si="39"/>
        <v>0</v>
      </c>
      <c r="X169" s="57" t="str">
        <f t="shared" si="40"/>
        <v/>
      </c>
      <c r="Y169" s="58">
        <f t="shared" si="41"/>
        <v>0</v>
      </c>
      <c r="AA169" s="62" t="str">
        <f t="shared" si="55"/>
        <v/>
      </c>
    </row>
    <row r="170" spans="3:27">
      <c r="C170" s="82"/>
      <c r="E170" s="30" t="str">
        <f t="shared" si="51"/>
        <v>00:00:00</v>
      </c>
      <c r="F170" s="36" t="str">
        <f t="shared" si="43"/>
        <v/>
      </c>
      <c r="G170" s="36">
        <f t="shared" si="44"/>
        <v>0</v>
      </c>
      <c r="H170" s="3" t="str">
        <f t="shared" si="45"/>
        <v/>
      </c>
      <c r="I170" s="3">
        <f t="shared" si="46"/>
        <v>0</v>
      </c>
      <c r="L170" s="35">
        <f t="shared" si="56"/>
        <v>1</v>
      </c>
      <c r="O170" s="27">
        <f t="shared" si="48"/>
        <v>0</v>
      </c>
      <c r="P170" s="3">
        <v>168</v>
      </c>
      <c r="Q170" s="3" t="e">
        <f t="shared" si="53"/>
        <v>#N/A</v>
      </c>
      <c r="R170" s="3" t="e">
        <f t="shared" si="54"/>
        <v>#N/A</v>
      </c>
      <c r="T170" s="46" t="str">
        <f t="shared" si="49"/>
        <v/>
      </c>
      <c r="U170" s="48" t="str">
        <f t="shared" si="50"/>
        <v/>
      </c>
      <c r="W170" s="56">
        <f t="shared" si="39"/>
        <v>0</v>
      </c>
      <c r="X170" s="57" t="str">
        <f t="shared" si="40"/>
        <v/>
      </c>
      <c r="Y170" s="58">
        <f t="shared" si="41"/>
        <v>0</v>
      </c>
      <c r="AA170" s="62" t="str">
        <f t="shared" si="55"/>
        <v/>
      </c>
    </row>
    <row r="171" spans="3:27">
      <c r="C171" s="82"/>
      <c r="E171" s="30" t="str">
        <f t="shared" si="51"/>
        <v>00:00:00</v>
      </c>
      <c r="F171" s="36" t="str">
        <f t="shared" si="43"/>
        <v/>
      </c>
      <c r="G171" s="36">
        <f t="shared" si="44"/>
        <v>0</v>
      </c>
      <c r="H171" s="3" t="str">
        <f t="shared" si="45"/>
        <v/>
      </c>
      <c r="I171" s="3">
        <f t="shared" si="46"/>
        <v>0</v>
      </c>
      <c r="L171" s="35">
        <f t="shared" si="56"/>
        <v>1</v>
      </c>
      <c r="O171" s="27">
        <f t="shared" si="48"/>
        <v>0</v>
      </c>
      <c r="P171" s="3">
        <v>169</v>
      </c>
      <c r="Q171" s="3" t="e">
        <f t="shared" si="53"/>
        <v>#N/A</v>
      </c>
      <c r="R171" s="3" t="e">
        <f t="shared" si="54"/>
        <v>#N/A</v>
      </c>
      <c r="T171" s="46" t="str">
        <f t="shared" si="49"/>
        <v/>
      </c>
      <c r="U171" s="48" t="str">
        <f t="shared" si="50"/>
        <v/>
      </c>
      <c r="W171" s="56">
        <f t="shared" si="39"/>
        <v>0</v>
      </c>
      <c r="X171" s="57" t="str">
        <f t="shared" si="40"/>
        <v/>
      </c>
      <c r="Y171" s="58">
        <f t="shared" si="41"/>
        <v>0</v>
      </c>
      <c r="AA171" s="62" t="str">
        <f t="shared" si="55"/>
        <v/>
      </c>
    </row>
    <row r="172" spans="3:27">
      <c r="C172" s="82"/>
      <c r="E172" s="30" t="str">
        <f t="shared" si="51"/>
        <v>00:00:00</v>
      </c>
      <c r="F172" s="36" t="str">
        <f t="shared" si="43"/>
        <v/>
      </c>
      <c r="G172" s="36">
        <f t="shared" si="44"/>
        <v>0</v>
      </c>
      <c r="H172" s="3" t="str">
        <f t="shared" si="45"/>
        <v/>
      </c>
      <c r="I172" s="3">
        <f t="shared" si="46"/>
        <v>0</v>
      </c>
      <c r="L172" s="35">
        <f t="shared" si="56"/>
        <v>1</v>
      </c>
      <c r="O172" s="27">
        <f t="shared" si="48"/>
        <v>0</v>
      </c>
      <c r="P172" s="3">
        <v>170</v>
      </c>
      <c r="Q172" s="3" t="e">
        <f t="shared" si="53"/>
        <v>#N/A</v>
      </c>
      <c r="R172" s="3" t="e">
        <f t="shared" si="54"/>
        <v>#N/A</v>
      </c>
      <c r="T172" s="46" t="str">
        <f t="shared" si="49"/>
        <v/>
      </c>
      <c r="U172" s="48" t="str">
        <f t="shared" si="50"/>
        <v/>
      </c>
      <c r="W172" s="56">
        <f t="shared" si="39"/>
        <v>0</v>
      </c>
      <c r="X172" s="57" t="str">
        <f t="shared" si="40"/>
        <v/>
      </c>
      <c r="Y172" s="58">
        <f t="shared" si="41"/>
        <v>0</v>
      </c>
      <c r="AA172" s="62" t="str">
        <f t="shared" si="55"/>
        <v/>
      </c>
    </row>
    <row r="173" spans="3:27">
      <c r="C173" s="82"/>
      <c r="E173" s="30" t="str">
        <f t="shared" si="51"/>
        <v>00:00:00</v>
      </c>
      <c r="F173" s="36" t="str">
        <f t="shared" si="43"/>
        <v/>
      </c>
      <c r="G173" s="36">
        <f t="shared" si="44"/>
        <v>0</v>
      </c>
      <c r="H173" s="3" t="str">
        <f t="shared" si="45"/>
        <v/>
      </c>
      <c r="I173" s="3">
        <f t="shared" si="46"/>
        <v>0</v>
      </c>
      <c r="L173" s="35">
        <f t="shared" si="56"/>
        <v>1</v>
      </c>
      <c r="O173" s="27">
        <f t="shared" si="48"/>
        <v>0</v>
      </c>
      <c r="P173" s="3">
        <v>171</v>
      </c>
      <c r="Q173" s="3" t="e">
        <f t="shared" si="53"/>
        <v>#N/A</v>
      </c>
      <c r="R173" s="3" t="e">
        <f t="shared" si="54"/>
        <v>#N/A</v>
      </c>
      <c r="T173" s="46" t="str">
        <f t="shared" si="49"/>
        <v/>
      </c>
      <c r="U173" s="48" t="str">
        <f t="shared" si="50"/>
        <v/>
      </c>
      <c r="W173" s="56">
        <f t="shared" si="39"/>
        <v>0</v>
      </c>
      <c r="X173" s="57" t="str">
        <f t="shared" si="40"/>
        <v/>
      </c>
      <c r="Y173" s="58">
        <f t="shared" si="41"/>
        <v>0</v>
      </c>
      <c r="AA173" s="62" t="str">
        <f t="shared" si="55"/>
        <v/>
      </c>
    </row>
    <row r="174" spans="3:27">
      <c r="C174" s="82"/>
      <c r="E174" s="30" t="str">
        <f t="shared" si="51"/>
        <v>00:00:00</v>
      </c>
      <c r="F174" s="36" t="str">
        <f t="shared" si="43"/>
        <v/>
      </c>
      <c r="G174" s="36">
        <f t="shared" si="44"/>
        <v>0</v>
      </c>
      <c r="H174" s="3" t="str">
        <f t="shared" si="45"/>
        <v/>
      </c>
      <c r="I174" s="3">
        <f t="shared" si="46"/>
        <v>0</v>
      </c>
      <c r="L174" s="35">
        <f t="shared" si="56"/>
        <v>1</v>
      </c>
      <c r="O174" s="27">
        <f t="shared" si="48"/>
        <v>0</v>
      </c>
      <c r="P174" s="3">
        <v>172</v>
      </c>
      <c r="Q174" s="3" t="e">
        <f t="shared" si="53"/>
        <v>#N/A</v>
      </c>
      <c r="R174" s="3" t="e">
        <f t="shared" si="54"/>
        <v>#N/A</v>
      </c>
      <c r="T174" s="46" t="str">
        <f t="shared" si="49"/>
        <v/>
      </c>
      <c r="U174" s="48" t="str">
        <f t="shared" si="50"/>
        <v/>
      </c>
      <c r="W174" s="56">
        <f t="shared" si="39"/>
        <v>0</v>
      </c>
      <c r="X174" s="57" t="str">
        <f t="shared" si="40"/>
        <v/>
      </c>
      <c r="Y174" s="58">
        <f t="shared" si="41"/>
        <v>0</v>
      </c>
      <c r="AA174" s="62" t="str">
        <f t="shared" si="55"/>
        <v/>
      </c>
    </row>
    <row r="175" spans="3:27">
      <c r="C175" s="82"/>
      <c r="E175" s="30" t="str">
        <f t="shared" si="51"/>
        <v>00:00:00</v>
      </c>
      <c r="F175" s="36" t="str">
        <f t="shared" si="43"/>
        <v/>
      </c>
      <c r="G175" s="36">
        <f t="shared" si="44"/>
        <v>0</v>
      </c>
      <c r="H175" s="3" t="str">
        <f t="shared" si="45"/>
        <v/>
      </c>
      <c r="I175" s="3">
        <f t="shared" si="46"/>
        <v>0</v>
      </c>
      <c r="L175" s="35">
        <f t="shared" si="56"/>
        <v>1</v>
      </c>
      <c r="O175" s="27">
        <f t="shared" si="48"/>
        <v>0</v>
      </c>
      <c r="P175" s="3">
        <v>173</v>
      </c>
      <c r="Q175" s="3" t="e">
        <f t="shared" si="53"/>
        <v>#N/A</v>
      </c>
      <c r="R175" s="3" t="e">
        <f t="shared" si="54"/>
        <v>#N/A</v>
      </c>
      <c r="T175" s="46" t="str">
        <f t="shared" si="49"/>
        <v/>
      </c>
      <c r="U175" s="48" t="str">
        <f t="shared" si="50"/>
        <v/>
      </c>
      <c r="W175" s="56">
        <f t="shared" si="39"/>
        <v>0</v>
      </c>
      <c r="X175" s="57" t="str">
        <f t="shared" si="40"/>
        <v/>
      </c>
      <c r="Y175" s="58">
        <f t="shared" si="41"/>
        <v>0</v>
      </c>
      <c r="AA175" s="62" t="str">
        <f t="shared" si="55"/>
        <v/>
      </c>
    </row>
    <row r="176" spans="3:27">
      <c r="C176" s="82"/>
      <c r="E176" s="30" t="str">
        <f t="shared" si="51"/>
        <v>00:00:00</v>
      </c>
      <c r="F176" s="36" t="str">
        <f t="shared" si="43"/>
        <v/>
      </c>
      <c r="G176" s="36">
        <f t="shared" si="44"/>
        <v>0</v>
      </c>
      <c r="H176" s="3" t="str">
        <f t="shared" si="45"/>
        <v/>
      </c>
      <c r="I176" s="3">
        <f t="shared" si="46"/>
        <v>0</v>
      </c>
      <c r="L176" s="35">
        <f t="shared" si="56"/>
        <v>1</v>
      </c>
      <c r="O176" s="27">
        <f t="shared" si="48"/>
        <v>0</v>
      </c>
      <c r="P176" s="3">
        <v>174</v>
      </c>
      <c r="Q176" s="3" t="e">
        <f t="shared" si="53"/>
        <v>#N/A</v>
      </c>
      <c r="R176" s="3" t="e">
        <f t="shared" si="54"/>
        <v>#N/A</v>
      </c>
      <c r="T176" s="46" t="str">
        <f t="shared" si="49"/>
        <v/>
      </c>
      <c r="U176" s="48" t="str">
        <f t="shared" si="50"/>
        <v/>
      </c>
      <c r="W176" s="56">
        <f t="shared" si="39"/>
        <v>0</v>
      </c>
      <c r="X176" s="57" t="str">
        <f t="shared" si="40"/>
        <v/>
      </c>
      <c r="Y176" s="58">
        <f t="shared" si="41"/>
        <v>0</v>
      </c>
      <c r="AA176" s="62" t="str">
        <f t="shared" si="55"/>
        <v/>
      </c>
    </row>
    <row r="177" spans="3:27">
      <c r="C177" s="82"/>
      <c r="E177" s="30" t="str">
        <f t="shared" si="51"/>
        <v>00:00:00</v>
      </c>
      <c r="F177" s="36" t="str">
        <f t="shared" si="43"/>
        <v/>
      </c>
      <c r="G177" s="36">
        <f t="shared" si="44"/>
        <v>0</v>
      </c>
      <c r="H177" s="3" t="str">
        <f t="shared" si="45"/>
        <v/>
      </c>
      <c r="I177" s="3">
        <f t="shared" si="46"/>
        <v>0</v>
      </c>
      <c r="L177" s="35">
        <f t="shared" si="56"/>
        <v>1</v>
      </c>
      <c r="O177" s="27">
        <f t="shared" si="48"/>
        <v>0</v>
      </c>
      <c r="P177" s="3">
        <v>175</v>
      </c>
      <c r="Q177" s="3" t="e">
        <f t="shared" si="53"/>
        <v>#N/A</v>
      </c>
      <c r="R177" s="3" t="e">
        <f t="shared" si="54"/>
        <v>#N/A</v>
      </c>
      <c r="T177" s="46" t="str">
        <f t="shared" si="49"/>
        <v/>
      </c>
      <c r="U177" s="48" t="str">
        <f t="shared" si="50"/>
        <v/>
      </c>
      <c r="W177" s="56">
        <f t="shared" si="39"/>
        <v>0</v>
      </c>
      <c r="X177" s="57" t="str">
        <f t="shared" si="40"/>
        <v/>
      </c>
      <c r="Y177" s="58">
        <f t="shared" si="41"/>
        <v>0</v>
      </c>
      <c r="AA177" s="62" t="str">
        <f t="shared" si="55"/>
        <v/>
      </c>
    </row>
    <row r="178" spans="3:27">
      <c r="C178" s="82"/>
      <c r="E178" s="30" t="str">
        <f t="shared" si="51"/>
        <v>00:00:00</v>
      </c>
      <c r="F178" s="36" t="str">
        <f t="shared" si="43"/>
        <v/>
      </c>
      <c r="G178" s="36">
        <f t="shared" si="44"/>
        <v>0</v>
      </c>
      <c r="H178" s="3" t="str">
        <f t="shared" si="45"/>
        <v/>
      </c>
      <c r="I178" s="3">
        <f t="shared" si="46"/>
        <v>0</v>
      </c>
      <c r="L178" s="35">
        <f t="shared" si="56"/>
        <v>1</v>
      </c>
      <c r="O178" s="27">
        <f t="shared" si="48"/>
        <v>0</v>
      </c>
      <c r="P178" s="3">
        <v>176</v>
      </c>
      <c r="Q178" s="3" t="e">
        <f t="shared" si="53"/>
        <v>#N/A</v>
      </c>
      <c r="R178" s="3" t="e">
        <f t="shared" si="54"/>
        <v>#N/A</v>
      </c>
      <c r="T178" s="46" t="str">
        <f t="shared" si="49"/>
        <v/>
      </c>
      <c r="U178" s="48" t="str">
        <f t="shared" si="50"/>
        <v/>
      </c>
      <c r="W178" s="56">
        <f t="shared" si="39"/>
        <v>0</v>
      </c>
      <c r="X178" s="57" t="str">
        <f t="shared" si="40"/>
        <v/>
      </c>
      <c r="Y178" s="58">
        <f t="shared" si="41"/>
        <v>0</v>
      </c>
      <c r="AA178" s="62" t="str">
        <f t="shared" si="55"/>
        <v/>
      </c>
    </row>
    <row r="179" spans="3:27">
      <c r="C179" s="82"/>
      <c r="E179" s="30" t="str">
        <f t="shared" si="51"/>
        <v>00:00:00</v>
      </c>
      <c r="F179" s="36" t="str">
        <f t="shared" si="43"/>
        <v/>
      </c>
      <c r="G179" s="36">
        <f t="shared" si="44"/>
        <v>0</v>
      </c>
      <c r="H179" s="3" t="str">
        <f t="shared" si="45"/>
        <v/>
      </c>
      <c r="I179" s="3">
        <f t="shared" si="46"/>
        <v>0</v>
      </c>
      <c r="L179" s="35">
        <f t="shared" si="56"/>
        <v>1</v>
      </c>
      <c r="O179" s="27">
        <f t="shared" si="48"/>
        <v>0</v>
      </c>
      <c r="P179" s="3">
        <v>177</v>
      </c>
      <c r="Q179" s="3" t="e">
        <f t="shared" si="53"/>
        <v>#N/A</v>
      </c>
      <c r="R179" s="3" t="e">
        <f t="shared" si="54"/>
        <v>#N/A</v>
      </c>
      <c r="T179" s="46" t="str">
        <f t="shared" si="49"/>
        <v/>
      </c>
      <c r="U179" s="48" t="str">
        <f t="shared" si="50"/>
        <v/>
      </c>
      <c r="W179" s="56">
        <f t="shared" si="39"/>
        <v>0</v>
      </c>
      <c r="X179" s="57" t="str">
        <f t="shared" si="40"/>
        <v/>
      </c>
      <c r="Y179" s="58">
        <f t="shared" si="41"/>
        <v>0</v>
      </c>
      <c r="AA179" s="62" t="str">
        <f t="shared" si="55"/>
        <v/>
      </c>
    </row>
    <row r="180" spans="3:27">
      <c r="C180" s="82"/>
      <c r="E180" s="30" t="str">
        <f t="shared" si="51"/>
        <v>00:00:00</v>
      </c>
      <c r="F180" s="36" t="str">
        <f t="shared" si="43"/>
        <v/>
      </c>
      <c r="G180" s="36">
        <f t="shared" si="44"/>
        <v>0</v>
      </c>
      <c r="H180" s="3" t="str">
        <f t="shared" si="45"/>
        <v/>
      </c>
      <c r="I180" s="3">
        <f t="shared" si="46"/>
        <v>0</v>
      </c>
      <c r="L180" s="35">
        <f t="shared" si="56"/>
        <v>1</v>
      </c>
      <c r="O180" s="27">
        <f t="shared" si="48"/>
        <v>0</v>
      </c>
      <c r="P180" s="3">
        <v>178</v>
      </c>
      <c r="Q180" s="3" t="e">
        <f t="shared" si="53"/>
        <v>#N/A</v>
      </c>
      <c r="R180" s="3" t="e">
        <f t="shared" si="54"/>
        <v>#N/A</v>
      </c>
      <c r="T180" s="46" t="str">
        <f t="shared" si="49"/>
        <v/>
      </c>
      <c r="U180" s="48" t="str">
        <f t="shared" si="50"/>
        <v/>
      </c>
      <c r="W180" s="56">
        <f t="shared" si="39"/>
        <v>0</v>
      </c>
      <c r="X180" s="57" t="str">
        <f t="shared" si="40"/>
        <v/>
      </c>
      <c r="Y180" s="58">
        <f t="shared" si="41"/>
        <v>0</v>
      </c>
      <c r="AA180" s="62" t="str">
        <f t="shared" si="55"/>
        <v/>
      </c>
    </row>
    <row r="181" spans="3:27">
      <c r="C181" s="82"/>
      <c r="E181" s="30" t="str">
        <f t="shared" si="51"/>
        <v>00:00:00</v>
      </c>
      <c r="F181" s="36" t="str">
        <f t="shared" si="43"/>
        <v/>
      </c>
      <c r="G181" s="36">
        <f t="shared" si="44"/>
        <v>0</v>
      </c>
      <c r="H181" s="3" t="str">
        <f t="shared" si="45"/>
        <v/>
      </c>
      <c r="I181" s="3">
        <f t="shared" si="46"/>
        <v>0</v>
      </c>
      <c r="L181" s="35">
        <f t="shared" si="56"/>
        <v>1</v>
      </c>
      <c r="O181" s="27">
        <f t="shared" si="48"/>
        <v>0</v>
      </c>
      <c r="P181" s="3">
        <v>179</v>
      </c>
      <c r="Q181" s="3" t="e">
        <f t="shared" si="53"/>
        <v>#N/A</v>
      </c>
      <c r="R181" s="3" t="e">
        <f t="shared" si="54"/>
        <v>#N/A</v>
      </c>
      <c r="T181" s="46" t="str">
        <f t="shared" si="49"/>
        <v/>
      </c>
      <c r="U181" s="48" t="str">
        <f t="shared" si="50"/>
        <v/>
      </c>
      <c r="W181" s="56">
        <f t="shared" si="39"/>
        <v>0</v>
      </c>
      <c r="X181" s="57" t="str">
        <f t="shared" si="40"/>
        <v/>
      </c>
      <c r="Y181" s="58">
        <f t="shared" si="41"/>
        <v>0</v>
      </c>
      <c r="AA181" s="62" t="str">
        <f t="shared" si="55"/>
        <v/>
      </c>
    </row>
    <row r="182" spans="3:27">
      <c r="C182" s="82"/>
      <c r="E182" s="30" t="str">
        <f t="shared" si="51"/>
        <v>00:00:00</v>
      </c>
      <c r="F182" s="36" t="str">
        <f t="shared" si="43"/>
        <v/>
      </c>
      <c r="G182" s="36">
        <f t="shared" si="44"/>
        <v>0</v>
      </c>
      <c r="H182" s="3" t="str">
        <f t="shared" si="45"/>
        <v/>
      </c>
      <c r="I182" s="3">
        <f t="shared" si="46"/>
        <v>0</v>
      </c>
      <c r="L182" s="35">
        <f t="shared" si="56"/>
        <v>1</v>
      </c>
      <c r="O182" s="27">
        <f t="shared" si="48"/>
        <v>0</v>
      </c>
      <c r="P182" s="3">
        <v>180</v>
      </c>
      <c r="Q182" s="3" t="e">
        <f t="shared" si="53"/>
        <v>#N/A</v>
      </c>
      <c r="R182" s="3" t="e">
        <f t="shared" si="54"/>
        <v>#N/A</v>
      </c>
      <c r="T182" s="46" t="str">
        <f t="shared" si="49"/>
        <v/>
      </c>
      <c r="U182" s="48" t="str">
        <f t="shared" si="50"/>
        <v/>
      </c>
      <c r="W182" s="56">
        <f t="shared" si="39"/>
        <v>0</v>
      </c>
      <c r="X182" s="57" t="str">
        <f t="shared" si="40"/>
        <v/>
      </c>
      <c r="Y182" s="58">
        <f t="shared" si="41"/>
        <v>0</v>
      </c>
      <c r="AA182" s="62" t="str">
        <f t="shared" si="55"/>
        <v/>
      </c>
    </row>
    <row r="183" spans="3:27">
      <c r="C183" s="82"/>
      <c r="E183" s="30" t="str">
        <f t="shared" si="51"/>
        <v>00:00:00</v>
      </c>
      <c r="F183" s="36" t="str">
        <f t="shared" si="43"/>
        <v/>
      </c>
      <c r="G183" s="36">
        <f t="shared" si="44"/>
        <v>0</v>
      </c>
      <c r="H183" s="3" t="str">
        <f t="shared" si="45"/>
        <v/>
      </c>
      <c r="I183" s="3">
        <f t="shared" si="46"/>
        <v>0</v>
      </c>
      <c r="L183" s="35">
        <f t="shared" si="56"/>
        <v>1</v>
      </c>
      <c r="O183" s="27">
        <f t="shared" si="48"/>
        <v>0</v>
      </c>
      <c r="P183" s="3">
        <v>181</v>
      </c>
      <c r="Q183" s="3" t="e">
        <f t="shared" si="53"/>
        <v>#N/A</v>
      </c>
      <c r="R183" s="3" t="e">
        <f t="shared" si="54"/>
        <v>#N/A</v>
      </c>
      <c r="T183" s="46" t="str">
        <f t="shared" si="49"/>
        <v/>
      </c>
      <c r="U183" s="48" t="str">
        <f t="shared" si="50"/>
        <v/>
      </c>
      <c r="W183" s="56">
        <f t="shared" si="39"/>
        <v>0</v>
      </c>
      <c r="X183" s="57" t="str">
        <f t="shared" si="40"/>
        <v/>
      </c>
      <c r="Y183" s="58">
        <f t="shared" si="41"/>
        <v>0</v>
      </c>
      <c r="AA183" s="62" t="str">
        <f t="shared" si="55"/>
        <v/>
      </c>
    </row>
    <row r="184" spans="3:27">
      <c r="C184" s="82"/>
      <c r="E184" s="30" t="str">
        <f t="shared" si="51"/>
        <v>00:00:00</v>
      </c>
      <c r="F184" s="36" t="str">
        <f t="shared" si="43"/>
        <v/>
      </c>
      <c r="G184" s="36">
        <f t="shared" si="44"/>
        <v>0</v>
      </c>
      <c r="H184" s="3" t="str">
        <f t="shared" si="45"/>
        <v/>
      </c>
      <c r="I184" s="3">
        <f t="shared" si="46"/>
        <v>0</v>
      </c>
      <c r="L184" s="35">
        <f t="shared" si="56"/>
        <v>1</v>
      </c>
      <c r="O184" s="27">
        <f t="shared" si="48"/>
        <v>0</v>
      </c>
      <c r="P184" s="3">
        <v>182</v>
      </c>
      <c r="Q184" s="3" t="e">
        <f t="shared" si="53"/>
        <v>#N/A</v>
      </c>
      <c r="R184" s="3" t="e">
        <f t="shared" si="54"/>
        <v>#N/A</v>
      </c>
      <c r="T184" s="46" t="str">
        <f t="shared" si="49"/>
        <v/>
      </c>
      <c r="U184" s="48" t="str">
        <f t="shared" si="50"/>
        <v/>
      </c>
      <c r="W184" s="56">
        <f t="shared" si="39"/>
        <v>0</v>
      </c>
      <c r="X184" s="57" t="str">
        <f t="shared" si="40"/>
        <v/>
      </c>
      <c r="Y184" s="58">
        <f t="shared" si="41"/>
        <v>0</v>
      </c>
      <c r="AA184" s="62" t="str">
        <f t="shared" si="55"/>
        <v/>
      </c>
    </row>
    <row r="185" spans="3:27">
      <c r="C185" s="82"/>
      <c r="E185" s="30" t="str">
        <f t="shared" si="51"/>
        <v>00:00:00</v>
      </c>
      <c r="F185" s="36" t="str">
        <f t="shared" si="43"/>
        <v/>
      </c>
      <c r="G185" s="36">
        <f t="shared" si="44"/>
        <v>0</v>
      </c>
      <c r="H185" s="3" t="str">
        <f t="shared" si="45"/>
        <v/>
      </c>
      <c r="I185" s="3">
        <f t="shared" si="46"/>
        <v>0</v>
      </c>
      <c r="L185" s="35">
        <f t="shared" si="56"/>
        <v>1</v>
      </c>
      <c r="O185" s="27">
        <f t="shared" si="48"/>
        <v>0</v>
      </c>
      <c r="P185" s="3">
        <v>183</v>
      </c>
      <c r="Q185" s="3" t="e">
        <f t="shared" si="53"/>
        <v>#N/A</v>
      </c>
      <c r="R185" s="3" t="e">
        <f t="shared" si="54"/>
        <v>#N/A</v>
      </c>
      <c r="T185" s="46" t="str">
        <f t="shared" si="49"/>
        <v/>
      </c>
      <c r="U185" s="48" t="str">
        <f t="shared" si="50"/>
        <v/>
      </c>
      <c r="W185" s="56">
        <f t="shared" si="39"/>
        <v>0</v>
      </c>
      <c r="X185" s="57" t="str">
        <f t="shared" si="40"/>
        <v/>
      </c>
      <c r="Y185" s="58">
        <f t="shared" si="41"/>
        <v>0</v>
      </c>
      <c r="AA185" s="62" t="str">
        <f t="shared" si="55"/>
        <v/>
      </c>
    </row>
    <row r="186" spans="3:27">
      <c r="C186" s="82"/>
      <c r="E186" s="30" t="str">
        <f t="shared" si="51"/>
        <v>00:00:00</v>
      </c>
      <c r="F186" s="36" t="str">
        <f t="shared" si="43"/>
        <v/>
      </c>
      <c r="G186" s="36">
        <f t="shared" si="44"/>
        <v>0</v>
      </c>
      <c r="H186" s="3" t="str">
        <f t="shared" si="45"/>
        <v/>
      </c>
      <c r="I186" s="3">
        <f t="shared" si="46"/>
        <v>0</v>
      </c>
      <c r="L186" s="35">
        <f t="shared" si="56"/>
        <v>1</v>
      </c>
      <c r="O186" s="27">
        <f t="shared" si="48"/>
        <v>0</v>
      </c>
      <c r="P186" s="3">
        <v>184</v>
      </c>
      <c r="Q186" s="3" t="e">
        <f t="shared" si="53"/>
        <v>#N/A</v>
      </c>
      <c r="R186" s="3" t="e">
        <f t="shared" si="54"/>
        <v>#N/A</v>
      </c>
      <c r="T186" s="46" t="str">
        <f t="shared" si="49"/>
        <v/>
      </c>
      <c r="U186" s="48" t="str">
        <f t="shared" si="50"/>
        <v/>
      </c>
      <c r="W186" s="56">
        <f t="shared" si="39"/>
        <v>0</v>
      </c>
      <c r="X186" s="57" t="str">
        <f t="shared" si="40"/>
        <v/>
      </c>
      <c r="Y186" s="58">
        <f t="shared" si="41"/>
        <v>0</v>
      </c>
      <c r="AA186" s="62" t="str">
        <f t="shared" si="55"/>
        <v/>
      </c>
    </row>
    <row r="187" spans="3:27">
      <c r="C187" s="82"/>
      <c r="E187" s="30" t="str">
        <f t="shared" si="51"/>
        <v>00:00:00</v>
      </c>
      <c r="F187" s="36" t="str">
        <f t="shared" si="43"/>
        <v/>
      </c>
      <c r="G187" s="36">
        <f t="shared" si="44"/>
        <v>0</v>
      </c>
      <c r="H187" s="3" t="str">
        <f t="shared" si="45"/>
        <v/>
      </c>
      <c r="I187" s="3">
        <f t="shared" si="46"/>
        <v>0</v>
      </c>
      <c r="L187" s="35">
        <f t="shared" si="56"/>
        <v>1</v>
      </c>
      <c r="O187" s="27">
        <f t="shared" si="48"/>
        <v>0</v>
      </c>
      <c r="P187" s="3">
        <v>185</v>
      </c>
      <c r="Q187" s="3" t="e">
        <f t="shared" si="53"/>
        <v>#N/A</v>
      </c>
      <c r="R187" s="3" t="e">
        <f t="shared" si="54"/>
        <v>#N/A</v>
      </c>
      <c r="T187" s="46" t="str">
        <f t="shared" si="49"/>
        <v/>
      </c>
      <c r="U187" s="48" t="str">
        <f t="shared" si="50"/>
        <v/>
      </c>
      <c r="W187" s="56">
        <f t="shared" si="39"/>
        <v>0</v>
      </c>
      <c r="X187" s="57" t="str">
        <f t="shared" si="40"/>
        <v/>
      </c>
      <c r="Y187" s="58">
        <f t="shared" si="41"/>
        <v>0</v>
      </c>
      <c r="AA187" s="62" t="str">
        <f t="shared" si="55"/>
        <v/>
      </c>
    </row>
    <row r="188" spans="3:27">
      <c r="C188" s="82"/>
      <c r="E188" s="30" t="str">
        <f t="shared" si="51"/>
        <v>00:00:00</v>
      </c>
      <c r="F188" s="36" t="str">
        <f t="shared" si="43"/>
        <v/>
      </c>
      <c r="G188" s="36">
        <f t="shared" si="44"/>
        <v>0</v>
      </c>
      <c r="H188" s="3" t="str">
        <f t="shared" si="45"/>
        <v/>
      </c>
      <c r="I188" s="3">
        <f t="shared" si="46"/>
        <v>0</v>
      </c>
      <c r="L188" s="35">
        <f t="shared" si="56"/>
        <v>1</v>
      </c>
      <c r="O188" s="27">
        <f t="shared" si="48"/>
        <v>0</v>
      </c>
      <c r="P188" s="3">
        <v>186</v>
      </c>
      <c r="Q188" s="3" t="e">
        <f t="shared" si="53"/>
        <v>#N/A</v>
      </c>
      <c r="R188" s="3" t="e">
        <f t="shared" si="54"/>
        <v>#N/A</v>
      </c>
      <c r="T188" s="46" t="str">
        <f t="shared" si="49"/>
        <v/>
      </c>
      <c r="U188" s="48" t="str">
        <f t="shared" si="50"/>
        <v/>
      </c>
      <c r="W188" s="56">
        <f t="shared" si="39"/>
        <v>0</v>
      </c>
      <c r="X188" s="57" t="str">
        <f t="shared" si="40"/>
        <v/>
      </c>
      <c r="Y188" s="58">
        <f t="shared" si="41"/>
        <v>0</v>
      </c>
      <c r="AA188" s="62" t="str">
        <f t="shared" si="55"/>
        <v/>
      </c>
    </row>
    <row r="189" spans="3:27">
      <c r="C189" s="82"/>
      <c r="E189" s="30" t="str">
        <f t="shared" si="51"/>
        <v>00:00:00</v>
      </c>
      <c r="F189" s="36" t="str">
        <f t="shared" si="43"/>
        <v/>
      </c>
      <c r="G189" s="36">
        <f t="shared" si="44"/>
        <v>0</v>
      </c>
      <c r="H189" s="3" t="str">
        <f t="shared" si="45"/>
        <v/>
      </c>
      <c r="I189" s="3">
        <f t="shared" si="46"/>
        <v>0</v>
      </c>
      <c r="L189" s="35">
        <f t="shared" si="56"/>
        <v>1</v>
      </c>
      <c r="O189" s="27">
        <f t="shared" si="48"/>
        <v>0</v>
      </c>
      <c r="P189" s="3">
        <v>187</v>
      </c>
      <c r="Q189" s="3" t="e">
        <f t="shared" si="53"/>
        <v>#N/A</v>
      </c>
      <c r="R189" s="3" t="e">
        <f t="shared" si="54"/>
        <v>#N/A</v>
      </c>
      <c r="T189" s="46" t="str">
        <f t="shared" si="49"/>
        <v/>
      </c>
      <c r="U189" s="48" t="str">
        <f t="shared" si="50"/>
        <v/>
      </c>
      <c r="W189" s="56">
        <f t="shared" si="39"/>
        <v>0</v>
      </c>
      <c r="X189" s="57" t="str">
        <f t="shared" si="40"/>
        <v/>
      </c>
      <c r="Y189" s="58">
        <f t="shared" si="41"/>
        <v>0</v>
      </c>
      <c r="AA189" s="62" t="str">
        <f t="shared" si="55"/>
        <v/>
      </c>
    </row>
    <row r="190" spans="3:27">
      <c r="C190" s="82"/>
      <c r="E190" s="30" t="str">
        <f t="shared" si="51"/>
        <v>00:00:00</v>
      </c>
      <c r="F190" s="36" t="str">
        <f t="shared" si="43"/>
        <v/>
      </c>
      <c r="G190" s="36">
        <f t="shared" si="44"/>
        <v>0</v>
      </c>
      <c r="H190" s="3" t="str">
        <f t="shared" si="45"/>
        <v/>
      </c>
      <c r="I190" s="3">
        <f t="shared" si="46"/>
        <v>0</v>
      </c>
      <c r="L190" s="35">
        <f t="shared" si="56"/>
        <v>1</v>
      </c>
      <c r="O190" s="27">
        <f t="shared" si="48"/>
        <v>0</v>
      </c>
      <c r="P190" s="3">
        <v>188</v>
      </c>
      <c r="Q190" s="3" t="e">
        <f t="shared" si="53"/>
        <v>#N/A</v>
      </c>
      <c r="R190" s="3" t="e">
        <f t="shared" si="54"/>
        <v>#N/A</v>
      </c>
      <c r="T190" s="46" t="str">
        <f t="shared" si="49"/>
        <v/>
      </c>
      <c r="U190" s="48" t="str">
        <f t="shared" si="50"/>
        <v/>
      </c>
      <c r="W190" s="56">
        <f t="shared" si="39"/>
        <v>0</v>
      </c>
      <c r="X190" s="57" t="str">
        <f t="shared" si="40"/>
        <v/>
      </c>
      <c r="Y190" s="58">
        <f t="shared" si="41"/>
        <v>0</v>
      </c>
      <c r="AA190" s="62" t="str">
        <f t="shared" si="55"/>
        <v/>
      </c>
    </row>
    <row r="191" spans="3:27">
      <c r="C191" s="82"/>
      <c r="E191" s="30" t="str">
        <f t="shared" si="51"/>
        <v>00:00:00</v>
      </c>
      <c r="F191" s="36" t="str">
        <f t="shared" si="43"/>
        <v/>
      </c>
      <c r="G191" s="36">
        <f t="shared" si="44"/>
        <v>0</v>
      </c>
      <c r="H191" s="3" t="str">
        <f t="shared" si="45"/>
        <v/>
      </c>
      <c r="I191" s="3">
        <f t="shared" si="46"/>
        <v>0</v>
      </c>
      <c r="L191" s="35">
        <f t="shared" si="56"/>
        <v>1</v>
      </c>
      <c r="O191" s="27">
        <f t="shared" si="48"/>
        <v>0</v>
      </c>
      <c r="P191" s="3">
        <v>189</v>
      </c>
      <c r="Q191" s="3" t="e">
        <f t="shared" si="53"/>
        <v>#N/A</v>
      </c>
      <c r="R191" s="3" t="e">
        <f t="shared" si="54"/>
        <v>#N/A</v>
      </c>
      <c r="T191" s="46" t="str">
        <f t="shared" si="49"/>
        <v/>
      </c>
      <c r="U191" s="48" t="str">
        <f t="shared" si="50"/>
        <v/>
      </c>
      <c r="W191" s="56">
        <f t="shared" si="39"/>
        <v>0</v>
      </c>
      <c r="X191" s="57" t="str">
        <f t="shared" si="40"/>
        <v/>
      </c>
      <c r="Y191" s="58">
        <f t="shared" si="41"/>
        <v>0</v>
      </c>
      <c r="AA191" s="62" t="str">
        <f t="shared" si="55"/>
        <v/>
      </c>
    </row>
    <row r="192" spans="3:27">
      <c r="C192" s="82"/>
      <c r="E192" s="30" t="str">
        <f t="shared" si="51"/>
        <v>00:00:00</v>
      </c>
      <c r="F192" s="36" t="str">
        <f t="shared" si="43"/>
        <v/>
      </c>
      <c r="G192" s="36">
        <f t="shared" si="44"/>
        <v>0</v>
      </c>
      <c r="H192" s="3" t="str">
        <f t="shared" si="45"/>
        <v/>
      </c>
      <c r="I192" s="3">
        <f t="shared" si="46"/>
        <v>0</v>
      </c>
      <c r="L192" s="35">
        <f t="shared" si="56"/>
        <v>1</v>
      </c>
      <c r="O192" s="27">
        <f t="shared" si="48"/>
        <v>0</v>
      </c>
      <c r="P192" s="3">
        <v>190</v>
      </c>
      <c r="Q192" s="3" t="e">
        <f t="shared" si="53"/>
        <v>#N/A</v>
      </c>
      <c r="R192" s="3" t="e">
        <f t="shared" si="54"/>
        <v>#N/A</v>
      </c>
      <c r="T192" s="46" t="str">
        <f t="shared" si="49"/>
        <v/>
      </c>
      <c r="U192" s="48" t="str">
        <f t="shared" si="50"/>
        <v/>
      </c>
      <c r="W192" s="56">
        <f t="shared" si="39"/>
        <v>0</v>
      </c>
      <c r="X192" s="57" t="str">
        <f t="shared" si="40"/>
        <v/>
      </c>
      <c r="Y192" s="58">
        <f t="shared" si="41"/>
        <v>0</v>
      </c>
      <c r="AA192" s="62" t="str">
        <f t="shared" si="55"/>
        <v/>
      </c>
    </row>
    <row r="193" spans="3:27">
      <c r="C193" s="82"/>
      <c r="E193" s="30" t="str">
        <f t="shared" si="51"/>
        <v>00:00:00</v>
      </c>
      <c r="F193" s="36" t="str">
        <f t="shared" si="43"/>
        <v/>
      </c>
      <c r="G193" s="36">
        <f t="shared" si="44"/>
        <v>0</v>
      </c>
      <c r="H193" s="3" t="str">
        <f t="shared" si="45"/>
        <v/>
      </c>
      <c r="I193" s="3">
        <f t="shared" si="46"/>
        <v>0</v>
      </c>
      <c r="L193" s="35">
        <f t="shared" si="56"/>
        <v>1</v>
      </c>
      <c r="O193" s="27">
        <f t="shared" si="48"/>
        <v>0</v>
      </c>
      <c r="P193" s="3">
        <v>191</v>
      </c>
      <c r="Q193" s="3" t="e">
        <f t="shared" si="53"/>
        <v>#N/A</v>
      </c>
      <c r="R193" s="3" t="e">
        <f t="shared" si="54"/>
        <v>#N/A</v>
      </c>
      <c r="T193" s="46" t="str">
        <f t="shared" si="49"/>
        <v/>
      </c>
      <c r="U193" s="48" t="str">
        <f t="shared" si="50"/>
        <v/>
      </c>
      <c r="W193" s="56">
        <f t="shared" si="39"/>
        <v>0</v>
      </c>
      <c r="X193" s="57" t="str">
        <f t="shared" si="40"/>
        <v/>
      </c>
      <c r="Y193" s="58">
        <f t="shared" si="41"/>
        <v>0</v>
      </c>
      <c r="AA193" s="62" t="str">
        <f t="shared" si="55"/>
        <v/>
      </c>
    </row>
    <row r="194" spans="3:27">
      <c r="C194" s="82"/>
      <c r="E194" s="30" t="str">
        <f t="shared" si="51"/>
        <v>00:00:00</v>
      </c>
      <c r="F194" s="36" t="str">
        <f t="shared" si="43"/>
        <v/>
      </c>
      <c r="G194" s="36">
        <f t="shared" si="44"/>
        <v>0</v>
      </c>
      <c r="H194" s="3" t="str">
        <f t="shared" si="45"/>
        <v/>
      </c>
      <c r="I194" s="3">
        <f t="shared" si="46"/>
        <v>0</v>
      </c>
      <c r="L194" s="35">
        <f t="shared" si="56"/>
        <v>1</v>
      </c>
      <c r="O194" s="27">
        <f t="shared" si="48"/>
        <v>0</v>
      </c>
      <c r="P194" s="3">
        <v>192</v>
      </c>
      <c r="Q194" s="3" t="e">
        <f t="shared" si="53"/>
        <v>#N/A</v>
      </c>
      <c r="R194" s="3" t="e">
        <f t="shared" si="54"/>
        <v>#N/A</v>
      </c>
      <c r="T194" s="46" t="str">
        <f t="shared" si="49"/>
        <v/>
      </c>
      <c r="U194" s="48" t="str">
        <f t="shared" si="50"/>
        <v/>
      </c>
      <c r="W194" s="56">
        <f t="shared" ref="W194:W257" si="57">IF(H194&lt;&gt;H195,1,0)</f>
        <v>0</v>
      </c>
      <c r="X194" s="57" t="str">
        <f t="shared" ref="X194:X257" si="58">IF(W194=1,H194,"")</f>
        <v/>
      </c>
      <c r="Y194" s="58">
        <f t="shared" ref="Y194:Y257" si="59">D194</f>
        <v>0</v>
      </c>
      <c r="AA194" s="62" t="str">
        <f t="shared" si="55"/>
        <v/>
      </c>
    </row>
    <row r="195" spans="3:27">
      <c r="C195" s="82"/>
      <c r="E195" s="30" t="str">
        <f t="shared" si="51"/>
        <v>00:00:00</v>
      </c>
      <c r="F195" s="36" t="str">
        <f t="shared" ref="F195:F258" si="60">IF(G195=0,"",IF(G195&lt;8,1,IF(G195&lt;15,2,IF(G195&lt;22,3,4))))</f>
        <v/>
      </c>
      <c r="G195" s="36">
        <f t="shared" ref="G195:G258" si="61">DAY(B195)</f>
        <v>0</v>
      </c>
      <c r="H195" s="3" t="str">
        <f t="shared" ref="H195:H258" si="62">IF(ISNUMBER(B195),VLOOKUP(MONTH(B195),$J$2:$K$13,2,FALSE),"")</f>
        <v/>
      </c>
      <c r="I195" s="3">
        <f t="shared" ref="I195:I258" si="63">IF(A195&lt;&gt;A196,1,0)</f>
        <v>0</v>
      </c>
      <c r="L195" s="35">
        <f t="shared" si="56"/>
        <v>1</v>
      </c>
      <c r="O195" s="27">
        <f t="shared" ref="O195:O258" si="64">D195</f>
        <v>0</v>
      </c>
      <c r="P195" s="3">
        <v>193</v>
      </c>
      <c r="Q195" s="3" t="e">
        <f t="shared" si="53"/>
        <v>#N/A</v>
      </c>
      <c r="R195" s="3" t="e">
        <f t="shared" si="54"/>
        <v>#N/A</v>
      </c>
      <c r="T195" s="46" t="str">
        <f t="shared" ref="T195:T258" si="65">IFERROR(R195,"")</f>
        <v/>
      </c>
      <c r="U195" s="48" t="str">
        <f t="shared" ref="U195:U258" si="66">IFERROR(Q195,"")</f>
        <v/>
      </c>
      <c r="W195" s="56">
        <f t="shared" si="57"/>
        <v>0</v>
      </c>
      <c r="X195" s="57" t="str">
        <f t="shared" si="58"/>
        <v/>
      </c>
      <c r="Y195" s="58">
        <f t="shared" si="59"/>
        <v>0</v>
      </c>
      <c r="AA195" s="62" t="str">
        <f t="shared" si="55"/>
        <v/>
      </c>
    </row>
    <row r="196" spans="3:27">
      <c r="C196" s="82"/>
      <c r="E196" s="30" t="str">
        <f t="shared" ref="E196:E259" si="67">IF(A196&lt;&gt;A195,TEXT(C196,"hh:mm:ss"),TEXT(C196+E195,"hh:mm:ss"))</f>
        <v>00:00:00</v>
      </c>
      <c r="F196" s="36" t="str">
        <f t="shared" si="60"/>
        <v/>
      </c>
      <c r="G196" s="36">
        <f t="shared" si="61"/>
        <v>0</v>
      </c>
      <c r="H196" s="3" t="str">
        <f t="shared" si="62"/>
        <v/>
      </c>
      <c r="I196" s="3">
        <f t="shared" si="63"/>
        <v>0</v>
      </c>
      <c r="L196" s="35">
        <f t="shared" si="56"/>
        <v>1</v>
      </c>
      <c r="O196" s="27">
        <f t="shared" si="64"/>
        <v>0</v>
      </c>
      <c r="P196" s="3">
        <v>194</v>
      </c>
      <c r="Q196" s="3" t="e">
        <f t="shared" ref="Q196:Q259" si="68">VLOOKUP(P196,M:O,3,FALSE)</f>
        <v>#N/A</v>
      </c>
      <c r="R196" s="3" t="e">
        <f t="shared" ref="R196:R259" si="69">VLOOKUP(P196,M:N,2,FALSE)</f>
        <v>#N/A</v>
      </c>
      <c r="T196" s="46" t="str">
        <f t="shared" si="65"/>
        <v/>
      </c>
      <c r="U196" s="48" t="str">
        <f t="shared" si="66"/>
        <v/>
      </c>
      <c r="W196" s="56">
        <f t="shared" si="57"/>
        <v>0</v>
      </c>
      <c r="X196" s="57" t="str">
        <f t="shared" si="58"/>
        <v/>
      </c>
      <c r="Y196" s="58">
        <f t="shared" si="59"/>
        <v>0</v>
      </c>
      <c r="AA196" s="62" t="str">
        <f t="shared" ref="AA196:AA259" si="70">IFERROR(VLOOKUP(Z196,X:Y,2,FALSE),"")</f>
        <v/>
      </c>
    </row>
    <row r="197" spans="3:27">
      <c r="C197" s="82"/>
      <c r="E197" s="30" t="str">
        <f t="shared" si="67"/>
        <v>00:00:00</v>
      </c>
      <c r="F197" s="36" t="str">
        <f t="shared" si="60"/>
        <v/>
      </c>
      <c r="G197" s="36">
        <f t="shared" si="61"/>
        <v>0</v>
      </c>
      <c r="H197" s="3" t="str">
        <f t="shared" si="62"/>
        <v/>
      </c>
      <c r="I197" s="3">
        <f t="shared" si="63"/>
        <v>0</v>
      </c>
      <c r="L197" s="35">
        <f t="shared" si="56"/>
        <v>1</v>
      </c>
      <c r="O197" s="27">
        <f t="shared" si="64"/>
        <v>0</v>
      </c>
      <c r="P197" s="3">
        <v>195</v>
      </c>
      <c r="Q197" s="3" t="e">
        <f t="shared" si="68"/>
        <v>#N/A</v>
      </c>
      <c r="R197" s="3" t="e">
        <f t="shared" si="69"/>
        <v>#N/A</v>
      </c>
      <c r="T197" s="46" t="str">
        <f t="shared" si="65"/>
        <v/>
      </c>
      <c r="U197" s="48" t="str">
        <f t="shared" si="66"/>
        <v/>
      </c>
      <c r="W197" s="56">
        <f t="shared" si="57"/>
        <v>0</v>
      </c>
      <c r="X197" s="57" t="str">
        <f t="shared" si="58"/>
        <v/>
      </c>
      <c r="Y197" s="58">
        <f t="shared" si="59"/>
        <v>0</v>
      </c>
      <c r="AA197" s="62" t="str">
        <f t="shared" si="70"/>
        <v/>
      </c>
    </row>
    <row r="198" spans="3:27">
      <c r="C198" s="82"/>
      <c r="E198" s="30" t="str">
        <f t="shared" si="67"/>
        <v>00:00:00</v>
      </c>
      <c r="F198" s="36" t="str">
        <f t="shared" si="60"/>
        <v/>
      </c>
      <c r="G198" s="36">
        <f t="shared" si="61"/>
        <v>0</v>
      </c>
      <c r="H198" s="3" t="str">
        <f t="shared" si="62"/>
        <v/>
      </c>
      <c r="I198" s="3">
        <f t="shared" si="63"/>
        <v>0</v>
      </c>
      <c r="L198" s="35">
        <f t="shared" si="56"/>
        <v>1</v>
      </c>
      <c r="O198" s="27">
        <f t="shared" si="64"/>
        <v>0</v>
      </c>
      <c r="P198" s="3">
        <v>196</v>
      </c>
      <c r="Q198" s="3" t="e">
        <f t="shared" si="68"/>
        <v>#N/A</v>
      </c>
      <c r="R198" s="3" t="e">
        <f t="shared" si="69"/>
        <v>#N/A</v>
      </c>
      <c r="T198" s="46" t="str">
        <f t="shared" si="65"/>
        <v/>
      </c>
      <c r="U198" s="48" t="str">
        <f t="shared" si="66"/>
        <v/>
      </c>
      <c r="W198" s="56">
        <f t="shared" si="57"/>
        <v>0</v>
      </c>
      <c r="X198" s="57" t="str">
        <f t="shared" si="58"/>
        <v/>
      </c>
      <c r="Y198" s="58">
        <f t="shared" si="59"/>
        <v>0</v>
      </c>
      <c r="AA198" s="62" t="str">
        <f t="shared" si="70"/>
        <v/>
      </c>
    </row>
    <row r="199" spans="3:27">
      <c r="C199" s="82"/>
      <c r="E199" s="30" t="str">
        <f t="shared" si="67"/>
        <v>00:00:00</v>
      </c>
      <c r="F199" s="36" t="str">
        <f t="shared" si="60"/>
        <v/>
      </c>
      <c r="G199" s="36">
        <f t="shared" si="61"/>
        <v>0</v>
      </c>
      <c r="H199" s="3" t="str">
        <f t="shared" si="62"/>
        <v/>
      </c>
      <c r="I199" s="3">
        <f t="shared" si="63"/>
        <v>0</v>
      </c>
      <c r="L199" s="35">
        <f t="shared" si="56"/>
        <v>1</v>
      </c>
      <c r="O199" s="27">
        <f t="shared" si="64"/>
        <v>0</v>
      </c>
      <c r="P199" s="3">
        <v>197</v>
      </c>
      <c r="Q199" s="3" t="e">
        <f t="shared" si="68"/>
        <v>#N/A</v>
      </c>
      <c r="R199" s="3" t="e">
        <f t="shared" si="69"/>
        <v>#N/A</v>
      </c>
      <c r="T199" s="46" t="str">
        <f t="shared" si="65"/>
        <v/>
      </c>
      <c r="U199" s="48" t="str">
        <f t="shared" si="66"/>
        <v/>
      </c>
      <c r="W199" s="56">
        <f t="shared" si="57"/>
        <v>0</v>
      </c>
      <c r="X199" s="57" t="str">
        <f t="shared" si="58"/>
        <v/>
      </c>
      <c r="Y199" s="58">
        <f t="shared" si="59"/>
        <v>0</v>
      </c>
      <c r="AA199" s="62" t="str">
        <f t="shared" si="70"/>
        <v/>
      </c>
    </row>
    <row r="200" spans="3:27">
      <c r="C200" s="82"/>
      <c r="E200" s="30" t="str">
        <f t="shared" si="67"/>
        <v>00:00:00</v>
      </c>
      <c r="F200" s="36" t="str">
        <f t="shared" si="60"/>
        <v/>
      </c>
      <c r="G200" s="36">
        <f t="shared" si="61"/>
        <v>0</v>
      </c>
      <c r="H200" s="3" t="str">
        <f t="shared" si="62"/>
        <v/>
      </c>
      <c r="I200" s="3">
        <f t="shared" si="63"/>
        <v>0</v>
      </c>
      <c r="L200" s="35">
        <f t="shared" si="56"/>
        <v>1</v>
      </c>
      <c r="O200" s="27">
        <f t="shared" si="64"/>
        <v>0</v>
      </c>
      <c r="P200" s="3">
        <v>198</v>
      </c>
      <c r="Q200" s="3" t="e">
        <f t="shared" si="68"/>
        <v>#N/A</v>
      </c>
      <c r="R200" s="3" t="e">
        <f t="shared" si="69"/>
        <v>#N/A</v>
      </c>
      <c r="T200" s="46" t="str">
        <f t="shared" si="65"/>
        <v/>
      </c>
      <c r="U200" s="48" t="str">
        <f t="shared" si="66"/>
        <v/>
      </c>
      <c r="W200" s="56">
        <f t="shared" si="57"/>
        <v>0</v>
      </c>
      <c r="X200" s="57" t="str">
        <f t="shared" si="58"/>
        <v/>
      </c>
      <c r="Y200" s="58">
        <f t="shared" si="59"/>
        <v>0</v>
      </c>
      <c r="AA200" s="62" t="str">
        <f t="shared" si="70"/>
        <v/>
      </c>
    </row>
    <row r="201" spans="3:27">
      <c r="C201" s="82"/>
      <c r="E201" s="30" t="str">
        <f t="shared" si="67"/>
        <v>00:00:00</v>
      </c>
      <c r="F201" s="36" t="str">
        <f t="shared" si="60"/>
        <v/>
      </c>
      <c r="G201" s="36">
        <f t="shared" si="61"/>
        <v>0</v>
      </c>
      <c r="H201" s="3" t="str">
        <f t="shared" si="62"/>
        <v/>
      </c>
      <c r="I201" s="3">
        <f t="shared" si="63"/>
        <v>0</v>
      </c>
      <c r="L201" s="35">
        <f t="shared" si="56"/>
        <v>1</v>
      </c>
      <c r="O201" s="27">
        <f t="shared" si="64"/>
        <v>0</v>
      </c>
      <c r="P201" s="3">
        <v>199</v>
      </c>
      <c r="Q201" s="3" t="e">
        <f t="shared" si="68"/>
        <v>#N/A</v>
      </c>
      <c r="R201" s="3" t="e">
        <f t="shared" si="69"/>
        <v>#N/A</v>
      </c>
      <c r="T201" s="46" t="str">
        <f t="shared" si="65"/>
        <v/>
      </c>
      <c r="U201" s="48" t="str">
        <f t="shared" si="66"/>
        <v/>
      </c>
      <c r="W201" s="56">
        <f t="shared" si="57"/>
        <v>0</v>
      </c>
      <c r="X201" s="57" t="str">
        <f t="shared" si="58"/>
        <v/>
      </c>
      <c r="Y201" s="58">
        <f t="shared" si="59"/>
        <v>0</v>
      </c>
      <c r="AA201" s="62" t="str">
        <f t="shared" si="70"/>
        <v/>
      </c>
    </row>
    <row r="202" spans="3:27">
      <c r="C202" s="82"/>
      <c r="E202" s="30" t="str">
        <f t="shared" si="67"/>
        <v>00:00:00</v>
      </c>
      <c r="F202" s="36" t="str">
        <f t="shared" si="60"/>
        <v/>
      </c>
      <c r="G202" s="36">
        <f t="shared" si="61"/>
        <v>0</v>
      </c>
      <c r="H202" s="3" t="str">
        <f t="shared" si="62"/>
        <v/>
      </c>
      <c r="I202" s="3">
        <f t="shared" si="63"/>
        <v>0</v>
      </c>
      <c r="L202" s="35">
        <f t="shared" si="56"/>
        <v>1</v>
      </c>
      <c r="O202" s="27">
        <f t="shared" si="64"/>
        <v>0</v>
      </c>
      <c r="P202" s="3">
        <v>200</v>
      </c>
      <c r="Q202" s="3" t="e">
        <f t="shared" si="68"/>
        <v>#N/A</v>
      </c>
      <c r="R202" s="3" t="e">
        <f t="shared" si="69"/>
        <v>#N/A</v>
      </c>
      <c r="T202" s="46" t="str">
        <f t="shared" si="65"/>
        <v/>
      </c>
      <c r="U202" s="48" t="str">
        <f t="shared" si="66"/>
        <v/>
      </c>
      <c r="W202" s="56">
        <f t="shared" si="57"/>
        <v>0</v>
      </c>
      <c r="X202" s="57" t="str">
        <f t="shared" si="58"/>
        <v/>
      </c>
      <c r="Y202" s="58">
        <f t="shared" si="59"/>
        <v>0</v>
      </c>
      <c r="AA202" s="62" t="str">
        <f t="shared" si="70"/>
        <v/>
      </c>
    </row>
    <row r="203" spans="3:27">
      <c r="C203" s="82"/>
      <c r="E203" s="30" t="str">
        <f t="shared" si="67"/>
        <v>00:00:00</v>
      </c>
      <c r="F203" s="36" t="str">
        <f t="shared" si="60"/>
        <v/>
      </c>
      <c r="G203" s="36">
        <f t="shared" si="61"/>
        <v>0</v>
      </c>
      <c r="H203" s="3" t="str">
        <f t="shared" si="62"/>
        <v/>
      </c>
      <c r="I203" s="3">
        <f t="shared" si="63"/>
        <v>0</v>
      </c>
      <c r="L203" s="35">
        <f t="shared" si="56"/>
        <v>1</v>
      </c>
      <c r="O203" s="27">
        <f t="shared" si="64"/>
        <v>0</v>
      </c>
      <c r="P203" s="3">
        <v>201</v>
      </c>
      <c r="Q203" s="3" t="e">
        <f t="shared" si="68"/>
        <v>#N/A</v>
      </c>
      <c r="R203" s="3" t="e">
        <f t="shared" si="69"/>
        <v>#N/A</v>
      </c>
      <c r="T203" s="46" t="str">
        <f t="shared" si="65"/>
        <v/>
      </c>
      <c r="U203" s="48" t="str">
        <f t="shared" si="66"/>
        <v/>
      </c>
      <c r="W203" s="56">
        <f t="shared" si="57"/>
        <v>0</v>
      </c>
      <c r="X203" s="57" t="str">
        <f t="shared" si="58"/>
        <v/>
      </c>
      <c r="Y203" s="58">
        <f t="shared" si="59"/>
        <v>0</v>
      </c>
      <c r="AA203" s="62" t="str">
        <f t="shared" si="70"/>
        <v/>
      </c>
    </row>
    <row r="204" spans="3:27">
      <c r="C204" s="82"/>
      <c r="E204" s="30" t="str">
        <f t="shared" si="67"/>
        <v>00:00:00</v>
      </c>
      <c r="F204" s="36" t="str">
        <f t="shared" si="60"/>
        <v/>
      </c>
      <c r="G204" s="36">
        <f t="shared" si="61"/>
        <v>0</v>
      </c>
      <c r="H204" s="3" t="str">
        <f t="shared" si="62"/>
        <v/>
      </c>
      <c r="I204" s="3">
        <f t="shared" si="63"/>
        <v>0</v>
      </c>
      <c r="L204" s="35">
        <f t="shared" ref="L204:L267" si="71">IF(I203=1,L203+I203,L203)</f>
        <v>1</v>
      </c>
      <c r="O204" s="27">
        <f t="shared" si="64"/>
        <v>0</v>
      </c>
      <c r="P204" s="3">
        <v>202</v>
      </c>
      <c r="Q204" s="3" t="e">
        <f t="shared" si="68"/>
        <v>#N/A</v>
      </c>
      <c r="R204" s="3" t="e">
        <f t="shared" si="69"/>
        <v>#N/A</v>
      </c>
      <c r="T204" s="46" t="str">
        <f t="shared" si="65"/>
        <v/>
      </c>
      <c r="U204" s="48" t="str">
        <f t="shared" si="66"/>
        <v/>
      </c>
      <c r="W204" s="56">
        <f t="shared" si="57"/>
        <v>0</v>
      </c>
      <c r="X204" s="57" t="str">
        <f t="shared" si="58"/>
        <v/>
      </c>
      <c r="Y204" s="58">
        <f t="shared" si="59"/>
        <v>0</v>
      </c>
      <c r="AA204" s="62" t="str">
        <f t="shared" si="70"/>
        <v/>
      </c>
    </row>
    <row r="205" spans="3:27">
      <c r="C205" s="82"/>
      <c r="E205" s="30" t="str">
        <f t="shared" si="67"/>
        <v>00:00:00</v>
      </c>
      <c r="F205" s="36" t="str">
        <f t="shared" si="60"/>
        <v/>
      </c>
      <c r="G205" s="36">
        <f t="shared" si="61"/>
        <v>0</v>
      </c>
      <c r="H205" s="3" t="str">
        <f t="shared" si="62"/>
        <v/>
      </c>
      <c r="I205" s="3">
        <f t="shared" si="63"/>
        <v>0</v>
      </c>
      <c r="L205" s="35">
        <f t="shared" si="71"/>
        <v>1</v>
      </c>
      <c r="O205" s="27">
        <f t="shared" si="64"/>
        <v>0</v>
      </c>
      <c r="P205" s="3">
        <v>203</v>
      </c>
      <c r="Q205" s="3" t="e">
        <f t="shared" si="68"/>
        <v>#N/A</v>
      </c>
      <c r="R205" s="3" t="e">
        <f t="shared" si="69"/>
        <v>#N/A</v>
      </c>
      <c r="T205" s="46" t="str">
        <f t="shared" si="65"/>
        <v/>
      </c>
      <c r="U205" s="48" t="str">
        <f t="shared" si="66"/>
        <v/>
      </c>
      <c r="W205" s="56">
        <f t="shared" si="57"/>
        <v>0</v>
      </c>
      <c r="X205" s="57" t="str">
        <f t="shared" si="58"/>
        <v/>
      </c>
      <c r="Y205" s="58">
        <f t="shared" si="59"/>
        <v>0</v>
      </c>
      <c r="AA205" s="62" t="str">
        <f t="shared" si="70"/>
        <v/>
      </c>
    </row>
    <row r="206" spans="3:27">
      <c r="C206" s="82"/>
      <c r="E206" s="30" t="str">
        <f t="shared" si="67"/>
        <v>00:00:00</v>
      </c>
      <c r="F206" s="36" t="str">
        <f t="shared" si="60"/>
        <v/>
      </c>
      <c r="G206" s="36">
        <f t="shared" si="61"/>
        <v>0</v>
      </c>
      <c r="H206" s="3" t="str">
        <f t="shared" si="62"/>
        <v/>
      </c>
      <c r="I206" s="3">
        <f t="shared" si="63"/>
        <v>0</v>
      </c>
      <c r="L206" s="35">
        <f t="shared" si="71"/>
        <v>1</v>
      </c>
      <c r="O206" s="27">
        <f t="shared" si="64"/>
        <v>0</v>
      </c>
      <c r="P206" s="3">
        <v>204</v>
      </c>
      <c r="Q206" s="3" t="e">
        <f t="shared" si="68"/>
        <v>#N/A</v>
      </c>
      <c r="R206" s="3" t="e">
        <f t="shared" si="69"/>
        <v>#N/A</v>
      </c>
      <c r="T206" s="46" t="str">
        <f t="shared" si="65"/>
        <v/>
      </c>
      <c r="U206" s="48" t="str">
        <f t="shared" si="66"/>
        <v/>
      </c>
      <c r="W206" s="56">
        <f t="shared" si="57"/>
        <v>0</v>
      </c>
      <c r="X206" s="57" t="str">
        <f t="shared" si="58"/>
        <v/>
      </c>
      <c r="Y206" s="58">
        <f t="shared" si="59"/>
        <v>0</v>
      </c>
      <c r="AA206" s="62" t="str">
        <f t="shared" si="70"/>
        <v/>
      </c>
    </row>
    <row r="207" spans="3:27">
      <c r="C207" s="82"/>
      <c r="E207" s="30" t="str">
        <f t="shared" si="67"/>
        <v>00:00:00</v>
      </c>
      <c r="F207" s="36" t="str">
        <f t="shared" si="60"/>
        <v/>
      </c>
      <c r="G207" s="36">
        <f t="shared" si="61"/>
        <v>0</v>
      </c>
      <c r="H207" s="3" t="str">
        <f t="shared" si="62"/>
        <v/>
      </c>
      <c r="I207" s="3">
        <f t="shared" si="63"/>
        <v>0</v>
      </c>
      <c r="L207" s="35">
        <f t="shared" si="71"/>
        <v>1</v>
      </c>
      <c r="O207" s="27">
        <f t="shared" si="64"/>
        <v>0</v>
      </c>
      <c r="P207" s="3">
        <v>205</v>
      </c>
      <c r="Q207" s="3" t="e">
        <f t="shared" si="68"/>
        <v>#N/A</v>
      </c>
      <c r="R207" s="3" t="e">
        <f t="shared" si="69"/>
        <v>#N/A</v>
      </c>
      <c r="T207" s="46" t="str">
        <f t="shared" si="65"/>
        <v/>
      </c>
      <c r="U207" s="48" t="str">
        <f t="shared" si="66"/>
        <v/>
      </c>
      <c r="W207" s="56">
        <f t="shared" si="57"/>
        <v>0</v>
      </c>
      <c r="X207" s="57" t="str">
        <f t="shared" si="58"/>
        <v/>
      </c>
      <c r="Y207" s="58">
        <f t="shared" si="59"/>
        <v>0</v>
      </c>
      <c r="AA207" s="62" t="str">
        <f t="shared" si="70"/>
        <v/>
      </c>
    </row>
    <row r="208" spans="3:27">
      <c r="C208" s="82"/>
      <c r="E208" s="30" t="str">
        <f t="shared" si="67"/>
        <v>00:00:00</v>
      </c>
      <c r="F208" s="36" t="str">
        <f t="shared" si="60"/>
        <v/>
      </c>
      <c r="G208" s="36">
        <f t="shared" si="61"/>
        <v>0</v>
      </c>
      <c r="H208" s="3" t="str">
        <f t="shared" si="62"/>
        <v/>
      </c>
      <c r="I208" s="3">
        <f t="shared" si="63"/>
        <v>0</v>
      </c>
      <c r="L208" s="35">
        <f t="shared" si="71"/>
        <v>1</v>
      </c>
      <c r="O208" s="27">
        <f t="shared" si="64"/>
        <v>0</v>
      </c>
      <c r="P208" s="3">
        <v>206</v>
      </c>
      <c r="Q208" s="3" t="e">
        <f t="shared" si="68"/>
        <v>#N/A</v>
      </c>
      <c r="R208" s="3" t="e">
        <f t="shared" si="69"/>
        <v>#N/A</v>
      </c>
      <c r="T208" s="46" t="str">
        <f t="shared" si="65"/>
        <v/>
      </c>
      <c r="U208" s="48" t="str">
        <f t="shared" si="66"/>
        <v/>
      </c>
      <c r="W208" s="56">
        <f t="shared" si="57"/>
        <v>0</v>
      </c>
      <c r="X208" s="57" t="str">
        <f t="shared" si="58"/>
        <v/>
      </c>
      <c r="Y208" s="58">
        <f t="shared" si="59"/>
        <v>0</v>
      </c>
      <c r="AA208" s="62" t="str">
        <f t="shared" si="70"/>
        <v/>
      </c>
    </row>
    <row r="209" spans="3:27">
      <c r="C209" s="82"/>
      <c r="E209" s="30" t="str">
        <f t="shared" si="67"/>
        <v>00:00:00</v>
      </c>
      <c r="F209" s="36" t="str">
        <f t="shared" si="60"/>
        <v/>
      </c>
      <c r="G209" s="36">
        <f t="shared" si="61"/>
        <v>0</v>
      </c>
      <c r="H209" s="3" t="str">
        <f t="shared" si="62"/>
        <v/>
      </c>
      <c r="I209" s="3">
        <f t="shared" si="63"/>
        <v>0</v>
      </c>
      <c r="L209" s="35">
        <f t="shared" si="71"/>
        <v>1</v>
      </c>
      <c r="O209" s="27">
        <f t="shared" si="64"/>
        <v>0</v>
      </c>
      <c r="P209" s="3">
        <v>207</v>
      </c>
      <c r="Q209" s="3" t="e">
        <f t="shared" si="68"/>
        <v>#N/A</v>
      </c>
      <c r="R209" s="3" t="e">
        <f t="shared" si="69"/>
        <v>#N/A</v>
      </c>
      <c r="T209" s="46" t="str">
        <f t="shared" si="65"/>
        <v/>
      </c>
      <c r="U209" s="48" t="str">
        <f t="shared" si="66"/>
        <v/>
      </c>
      <c r="W209" s="56">
        <f t="shared" si="57"/>
        <v>0</v>
      </c>
      <c r="X209" s="57" t="str">
        <f t="shared" si="58"/>
        <v/>
      </c>
      <c r="Y209" s="58">
        <f t="shared" si="59"/>
        <v>0</v>
      </c>
      <c r="AA209" s="62" t="str">
        <f t="shared" si="70"/>
        <v/>
      </c>
    </row>
    <row r="210" spans="3:27">
      <c r="C210" s="82"/>
      <c r="E210" s="30" t="str">
        <f t="shared" si="67"/>
        <v>00:00:00</v>
      </c>
      <c r="F210" s="36" t="str">
        <f t="shared" si="60"/>
        <v/>
      </c>
      <c r="G210" s="36">
        <f t="shared" si="61"/>
        <v>0</v>
      </c>
      <c r="H210" s="3" t="str">
        <f t="shared" si="62"/>
        <v/>
      </c>
      <c r="I210" s="3">
        <f t="shared" si="63"/>
        <v>0</v>
      </c>
      <c r="L210" s="35">
        <f t="shared" si="71"/>
        <v>1</v>
      </c>
      <c r="O210" s="27">
        <f t="shared" si="64"/>
        <v>0</v>
      </c>
      <c r="P210" s="3">
        <v>208</v>
      </c>
      <c r="Q210" s="3" t="e">
        <f t="shared" si="68"/>
        <v>#N/A</v>
      </c>
      <c r="R210" s="3" t="e">
        <f t="shared" si="69"/>
        <v>#N/A</v>
      </c>
      <c r="T210" s="46" t="str">
        <f t="shared" si="65"/>
        <v/>
      </c>
      <c r="U210" s="48" t="str">
        <f t="shared" si="66"/>
        <v/>
      </c>
      <c r="W210" s="56">
        <f t="shared" si="57"/>
        <v>0</v>
      </c>
      <c r="X210" s="57" t="str">
        <f t="shared" si="58"/>
        <v/>
      </c>
      <c r="Y210" s="58">
        <f t="shared" si="59"/>
        <v>0</v>
      </c>
      <c r="AA210" s="62" t="str">
        <f t="shared" si="70"/>
        <v/>
      </c>
    </row>
    <row r="211" spans="3:27">
      <c r="C211" s="82"/>
      <c r="E211" s="30" t="str">
        <f t="shared" si="67"/>
        <v>00:00:00</v>
      </c>
      <c r="F211" s="36" t="str">
        <f t="shared" si="60"/>
        <v/>
      </c>
      <c r="G211" s="36">
        <f t="shared" si="61"/>
        <v>0</v>
      </c>
      <c r="H211" s="3" t="str">
        <f t="shared" si="62"/>
        <v/>
      </c>
      <c r="I211" s="3">
        <f t="shared" si="63"/>
        <v>0</v>
      </c>
      <c r="L211" s="35">
        <f t="shared" si="71"/>
        <v>1</v>
      </c>
      <c r="O211" s="27">
        <f t="shared" si="64"/>
        <v>0</v>
      </c>
      <c r="P211" s="3">
        <v>209</v>
      </c>
      <c r="Q211" s="3" t="e">
        <f t="shared" si="68"/>
        <v>#N/A</v>
      </c>
      <c r="R211" s="3" t="e">
        <f t="shared" si="69"/>
        <v>#N/A</v>
      </c>
      <c r="T211" s="46" t="str">
        <f t="shared" si="65"/>
        <v/>
      </c>
      <c r="U211" s="48" t="str">
        <f t="shared" si="66"/>
        <v/>
      </c>
      <c r="W211" s="56">
        <f t="shared" si="57"/>
        <v>0</v>
      </c>
      <c r="X211" s="57" t="str">
        <f t="shared" si="58"/>
        <v/>
      </c>
      <c r="Y211" s="58">
        <f t="shared" si="59"/>
        <v>0</v>
      </c>
      <c r="AA211" s="62" t="str">
        <f t="shared" si="70"/>
        <v/>
      </c>
    </row>
    <row r="212" spans="3:27">
      <c r="C212" s="82"/>
      <c r="E212" s="30" t="str">
        <f t="shared" si="67"/>
        <v>00:00:00</v>
      </c>
      <c r="F212" s="36" t="str">
        <f t="shared" si="60"/>
        <v/>
      </c>
      <c r="G212" s="36">
        <f t="shared" si="61"/>
        <v>0</v>
      </c>
      <c r="H212" s="3" t="str">
        <f t="shared" si="62"/>
        <v/>
      </c>
      <c r="I212" s="3">
        <f t="shared" si="63"/>
        <v>0</v>
      </c>
      <c r="L212" s="35">
        <f t="shared" si="71"/>
        <v>1</v>
      </c>
      <c r="O212" s="27">
        <f t="shared" si="64"/>
        <v>0</v>
      </c>
      <c r="P212" s="3">
        <v>210</v>
      </c>
      <c r="Q212" s="3" t="e">
        <f t="shared" si="68"/>
        <v>#N/A</v>
      </c>
      <c r="R212" s="3" t="e">
        <f t="shared" si="69"/>
        <v>#N/A</v>
      </c>
      <c r="T212" s="46" t="str">
        <f t="shared" si="65"/>
        <v/>
      </c>
      <c r="U212" s="48" t="str">
        <f t="shared" si="66"/>
        <v/>
      </c>
      <c r="W212" s="56">
        <f t="shared" si="57"/>
        <v>0</v>
      </c>
      <c r="X212" s="57" t="str">
        <f t="shared" si="58"/>
        <v/>
      </c>
      <c r="Y212" s="58">
        <f t="shared" si="59"/>
        <v>0</v>
      </c>
      <c r="AA212" s="62" t="str">
        <f t="shared" si="70"/>
        <v/>
      </c>
    </row>
    <row r="213" spans="3:27">
      <c r="C213" s="82"/>
      <c r="E213" s="30" t="str">
        <f t="shared" si="67"/>
        <v>00:00:00</v>
      </c>
      <c r="F213" s="36" t="str">
        <f t="shared" si="60"/>
        <v/>
      </c>
      <c r="G213" s="36">
        <f t="shared" si="61"/>
        <v>0</v>
      </c>
      <c r="H213" s="3" t="str">
        <f t="shared" si="62"/>
        <v/>
      </c>
      <c r="I213" s="3">
        <f t="shared" si="63"/>
        <v>0</v>
      </c>
      <c r="L213" s="35">
        <f t="shared" si="71"/>
        <v>1</v>
      </c>
      <c r="O213" s="27">
        <f t="shared" si="64"/>
        <v>0</v>
      </c>
      <c r="P213" s="3">
        <v>211</v>
      </c>
      <c r="Q213" s="3" t="e">
        <f t="shared" si="68"/>
        <v>#N/A</v>
      </c>
      <c r="R213" s="3" t="e">
        <f t="shared" si="69"/>
        <v>#N/A</v>
      </c>
      <c r="T213" s="46" t="str">
        <f t="shared" si="65"/>
        <v/>
      </c>
      <c r="U213" s="48" t="str">
        <f t="shared" si="66"/>
        <v/>
      </c>
      <c r="W213" s="56">
        <f t="shared" si="57"/>
        <v>0</v>
      </c>
      <c r="X213" s="57" t="str">
        <f t="shared" si="58"/>
        <v/>
      </c>
      <c r="Y213" s="58">
        <f t="shared" si="59"/>
        <v>0</v>
      </c>
      <c r="AA213" s="62" t="str">
        <f t="shared" si="70"/>
        <v/>
      </c>
    </row>
    <row r="214" spans="3:27">
      <c r="C214" s="82"/>
      <c r="E214" s="30" t="str">
        <f t="shared" si="67"/>
        <v>00:00:00</v>
      </c>
      <c r="F214" s="36" t="str">
        <f t="shared" si="60"/>
        <v/>
      </c>
      <c r="G214" s="36">
        <f t="shared" si="61"/>
        <v>0</v>
      </c>
      <c r="H214" s="3" t="str">
        <f t="shared" si="62"/>
        <v/>
      </c>
      <c r="I214" s="3">
        <f t="shared" si="63"/>
        <v>0</v>
      </c>
      <c r="L214" s="35">
        <f t="shared" si="71"/>
        <v>1</v>
      </c>
      <c r="O214" s="27">
        <f t="shared" si="64"/>
        <v>0</v>
      </c>
      <c r="P214" s="3">
        <v>212</v>
      </c>
      <c r="Q214" s="3" t="e">
        <f t="shared" si="68"/>
        <v>#N/A</v>
      </c>
      <c r="R214" s="3" t="e">
        <f t="shared" si="69"/>
        <v>#N/A</v>
      </c>
      <c r="T214" s="46" t="str">
        <f t="shared" si="65"/>
        <v/>
      </c>
      <c r="U214" s="48" t="str">
        <f t="shared" si="66"/>
        <v/>
      </c>
      <c r="W214" s="56">
        <f t="shared" si="57"/>
        <v>0</v>
      </c>
      <c r="X214" s="57" t="str">
        <f t="shared" si="58"/>
        <v/>
      </c>
      <c r="Y214" s="58">
        <f t="shared" si="59"/>
        <v>0</v>
      </c>
      <c r="AA214" s="62" t="str">
        <f t="shared" si="70"/>
        <v/>
      </c>
    </row>
    <row r="215" spans="3:27">
      <c r="C215" s="82"/>
      <c r="E215" s="30" t="str">
        <f t="shared" si="67"/>
        <v>00:00:00</v>
      </c>
      <c r="F215" s="36" t="str">
        <f t="shared" si="60"/>
        <v/>
      </c>
      <c r="G215" s="36">
        <f t="shared" si="61"/>
        <v>0</v>
      </c>
      <c r="H215" s="3" t="str">
        <f t="shared" si="62"/>
        <v/>
      </c>
      <c r="I215" s="3">
        <f t="shared" si="63"/>
        <v>0</v>
      </c>
      <c r="L215" s="35">
        <f t="shared" si="71"/>
        <v>1</v>
      </c>
      <c r="O215" s="27">
        <f t="shared" si="64"/>
        <v>0</v>
      </c>
      <c r="P215" s="3">
        <v>213</v>
      </c>
      <c r="Q215" s="3" t="e">
        <f t="shared" si="68"/>
        <v>#N/A</v>
      </c>
      <c r="R215" s="3" t="e">
        <f t="shared" si="69"/>
        <v>#N/A</v>
      </c>
      <c r="T215" s="46" t="str">
        <f t="shared" si="65"/>
        <v/>
      </c>
      <c r="U215" s="48" t="str">
        <f t="shared" si="66"/>
        <v/>
      </c>
      <c r="W215" s="56">
        <f t="shared" si="57"/>
        <v>0</v>
      </c>
      <c r="X215" s="57" t="str">
        <f t="shared" si="58"/>
        <v/>
      </c>
      <c r="Y215" s="58">
        <f t="shared" si="59"/>
        <v>0</v>
      </c>
      <c r="AA215" s="62" t="str">
        <f t="shared" si="70"/>
        <v/>
      </c>
    </row>
    <row r="216" spans="3:27">
      <c r="C216" s="82"/>
      <c r="E216" s="30" t="str">
        <f t="shared" si="67"/>
        <v>00:00:00</v>
      </c>
      <c r="F216" s="36" t="str">
        <f t="shared" si="60"/>
        <v/>
      </c>
      <c r="G216" s="36">
        <f t="shared" si="61"/>
        <v>0</v>
      </c>
      <c r="H216" s="3" t="str">
        <f t="shared" si="62"/>
        <v/>
      </c>
      <c r="I216" s="3">
        <f t="shared" si="63"/>
        <v>0</v>
      </c>
      <c r="L216" s="35">
        <f t="shared" si="71"/>
        <v>1</v>
      </c>
      <c r="O216" s="27">
        <f t="shared" si="64"/>
        <v>0</v>
      </c>
      <c r="P216" s="3">
        <v>214</v>
      </c>
      <c r="Q216" s="3" t="e">
        <f t="shared" si="68"/>
        <v>#N/A</v>
      </c>
      <c r="R216" s="3" t="e">
        <f t="shared" si="69"/>
        <v>#N/A</v>
      </c>
      <c r="T216" s="46" t="str">
        <f t="shared" si="65"/>
        <v/>
      </c>
      <c r="U216" s="48" t="str">
        <f t="shared" si="66"/>
        <v/>
      </c>
      <c r="W216" s="56">
        <f t="shared" si="57"/>
        <v>0</v>
      </c>
      <c r="X216" s="57" t="str">
        <f t="shared" si="58"/>
        <v/>
      </c>
      <c r="Y216" s="58">
        <f t="shared" si="59"/>
        <v>0</v>
      </c>
      <c r="AA216" s="62" t="str">
        <f t="shared" si="70"/>
        <v/>
      </c>
    </row>
    <row r="217" spans="3:27">
      <c r="C217" s="82"/>
      <c r="E217" s="30" t="str">
        <f t="shared" si="67"/>
        <v>00:00:00</v>
      </c>
      <c r="F217" s="36" t="str">
        <f t="shared" si="60"/>
        <v/>
      </c>
      <c r="G217" s="36">
        <f t="shared" si="61"/>
        <v>0</v>
      </c>
      <c r="H217" s="3" t="str">
        <f t="shared" si="62"/>
        <v/>
      </c>
      <c r="I217" s="3">
        <f t="shared" si="63"/>
        <v>0</v>
      </c>
      <c r="L217" s="35">
        <f t="shared" si="71"/>
        <v>1</v>
      </c>
      <c r="O217" s="27">
        <f t="shared" si="64"/>
        <v>0</v>
      </c>
      <c r="P217" s="3">
        <v>215</v>
      </c>
      <c r="Q217" s="3" t="e">
        <f t="shared" si="68"/>
        <v>#N/A</v>
      </c>
      <c r="R217" s="3" t="e">
        <f t="shared" si="69"/>
        <v>#N/A</v>
      </c>
      <c r="T217" s="46" t="str">
        <f t="shared" si="65"/>
        <v/>
      </c>
      <c r="U217" s="48" t="str">
        <f t="shared" si="66"/>
        <v/>
      </c>
      <c r="W217" s="56">
        <f t="shared" si="57"/>
        <v>0</v>
      </c>
      <c r="X217" s="57" t="str">
        <f t="shared" si="58"/>
        <v/>
      </c>
      <c r="Y217" s="58">
        <f t="shared" si="59"/>
        <v>0</v>
      </c>
      <c r="AA217" s="62" t="str">
        <f t="shared" si="70"/>
        <v/>
      </c>
    </row>
    <row r="218" spans="3:27">
      <c r="C218" s="82"/>
      <c r="E218" s="30" t="str">
        <f t="shared" si="67"/>
        <v>00:00:00</v>
      </c>
      <c r="F218" s="36" t="str">
        <f t="shared" si="60"/>
        <v/>
      </c>
      <c r="G218" s="36">
        <f t="shared" si="61"/>
        <v>0</v>
      </c>
      <c r="H218" s="3" t="str">
        <f t="shared" si="62"/>
        <v/>
      </c>
      <c r="I218" s="3">
        <f t="shared" si="63"/>
        <v>0</v>
      </c>
      <c r="L218" s="35">
        <f t="shared" si="71"/>
        <v>1</v>
      </c>
      <c r="O218" s="27">
        <f t="shared" si="64"/>
        <v>0</v>
      </c>
      <c r="P218" s="3">
        <v>216</v>
      </c>
      <c r="Q218" s="3" t="e">
        <f t="shared" si="68"/>
        <v>#N/A</v>
      </c>
      <c r="R218" s="3" t="e">
        <f t="shared" si="69"/>
        <v>#N/A</v>
      </c>
      <c r="T218" s="46" t="str">
        <f t="shared" si="65"/>
        <v/>
      </c>
      <c r="U218" s="48" t="str">
        <f t="shared" si="66"/>
        <v/>
      </c>
      <c r="W218" s="56">
        <f t="shared" si="57"/>
        <v>0</v>
      </c>
      <c r="X218" s="57" t="str">
        <f t="shared" si="58"/>
        <v/>
      </c>
      <c r="Y218" s="58">
        <f t="shared" si="59"/>
        <v>0</v>
      </c>
      <c r="AA218" s="62" t="str">
        <f t="shared" si="70"/>
        <v/>
      </c>
    </row>
    <row r="219" spans="3:27">
      <c r="C219" s="82"/>
      <c r="E219" s="30" t="str">
        <f t="shared" si="67"/>
        <v>00:00:00</v>
      </c>
      <c r="F219" s="36" t="str">
        <f t="shared" si="60"/>
        <v/>
      </c>
      <c r="G219" s="36">
        <f t="shared" si="61"/>
        <v>0</v>
      </c>
      <c r="H219" s="3" t="str">
        <f t="shared" si="62"/>
        <v/>
      </c>
      <c r="I219" s="3">
        <f t="shared" si="63"/>
        <v>0</v>
      </c>
      <c r="L219" s="35">
        <f t="shared" si="71"/>
        <v>1</v>
      </c>
      <c r="O219" s="27">
        <f t="shared" si="64"/>
        <v>0</v>
      </c>
      <c r="P219" s="3">
        <v>217</v>
      </c>
      <c r="Q219" s="3" t="e">
        <f t="shared" si="68"/>
        <v>#N/A</v>
      </c>
      <c r="R219" s="3" t="e">
        <f t="shared" si="69"/>
        <v>#N/A</v>
      </c>
      <c r="T219" s="46" t="str">
        <f t="shared" si="65"/>
        <v/>
      </c>
      <c r="U219" s="48" t="str">
        <f t="shared" si="66"/>
        <v/>
      </c>
      <c r="W219" s="56">
        <f t="shared" si="57"/>
        <v>0</v>
      </c>
      <c r="X219" s="57" t="str">
        <f t="shared" si="58"/>
        <v/>
      </c>
      <c r="Y219" s="58">
        <f t="shared" si="59"/>
        <v>0</v>
      </c>
      <c r="AA219" s="62" t="str">
        <f t="shared" si="70"/>
        <v/>
      </c>
    </row>
    <row r="220" spans="3:27">
      <c r="C220" s="82"/>
      <c r="E220" s="30" t="str">
        <f t="shared" si="67"/>
        <v>00:00:00</v>
      </c>
      <c r="F220" s="36" t="str">
        <f t="shared" si="60"/>
        <v/>
      </c>
      <c r="G220" s="36">
        <f t="shared" si="61"/>
        <v>0</v>
      </c>
      <c r="H220" s="3" t="str">
        <f t="shared" si="62"/>
        <v/>
      </c>
      <c r="I220" s="3">
        <f t="shared" si="63"/>
        <v>0</v>
      </c>
      <c r="L220" s="35">
        <f t="shared" si="71"/>
        <v>1</v>
      </c>
      <c r="O220" s="27">
        <f t="shared" si="64"/>
        <v>0</v>
      </c>
      <c r="P220" s="3">
        <v>218</v>
      </c>
      <c r="Q220" s="3" t="e">
        <f t="shared" si="68"/>
        <v>#N/A</v>
      </c>
      <c r="R220" s="3" t="e">
        <f t="shared" si="69"/>
        <v>#N/A</v>
      </c>
      <c r="T220" s="46" t="str">
        <f t="shared" si="65"/>
        <v/>
      </c>
      <c r="U220" s="48" t="str">
        <f t="shared" si="66"/>
        <v/>
      </c>
      <c r="W220" s="56">
        <f t="shared" si="57"/>
        <v>0</v>
      </c>
      <c r="X220" s="57" t="str">
        <f t="shared" si="58"/>
        <v/>
      </c>
      <c r="Y220" s="58">
        <f t="shared" si="59"/>
        <v>0</v>
      </c>
      <c r="AA220" s="62" t="str">
        <f t="shared" si="70"/>
        <v/>
      </c>
    </row>
    <row r="221" spans="3:27">
      <c r="C221" s="82"/>
      <c r="E221" s="30" t="str">
        <f t="shared" si="67"/>
        <v>00:00:00</v>
      </c>
      <c r="F221" s="36" t="str">
        <f t="shared" si="60"/>
        <v/>
      </c>
      <c r="G221" s="36">
        <f t="shared" si="61"/>
        <v>0</v>
      </c>
      <c r="H221" s="3" t="str">
        <f t="shared" si="62"/>
        <v/>
      </c>
      <c r="I221" s="3">
        <f t="shared" si="63"/>
        <v>0</v>
      </c>
      <c r="L221" s="35">
        <f t="shared" si="71"/>
        <v>1</v>
      </c>
      <c r="O221" s="27">
        <f t="shared" si="64"/>
        <v>0</v>
      </c>
      <c r="P221" s="3">
        <v>219</v>
      </c>
      <c r="Q221" s="3" t="e">
        <f t="shared" si="68"/>
        <v>#N/A</v>
      </c>
      <c r="R221" s="3" t="e">
        <f t="shared" si="69"/>
        <v>#N/A</v>
      </c>
      <c r="T221" s="46" t="str">
        <f t="shared" si="65"/>
        <v/>
      </c>
      <c r="U221" s="48" t="str">
        <f t="shared" si="66"/>
        <v/>
      </c>
      <c r="W221" s="56">
        <f t="shared" si="57"/>
        <v>0</v>
      </c>
      <c r="X221" s="57" t="str">
        <f t="shared" si="58"/>
        <v/>
      </c>
      <c r="Y221" s="58">
        <f t="shared" si="59"/>
        <v>0</v>
      </c>
      <c r="AA221" s="62" t="str">
        <f t="shared" si="70"/>
        <v/>
      </c>
    </row>
    <row r="222" spans="3:27">
      <c r="C222" s="82"/>
      <c r="E222" s="30" t="str">
        <f t="shared" si="67"/>
        <v>00:00:00</v>
      </c>
      <c r="F222" s="36" t="str">
        <f t="shared" si="60"/>
        <v/>
      </c>
      <c r="G222" s="36">
        <f t="shared" si="61"/>
        <v>0</v>
      </c>
      <c r="H222" s="3" t="str">
        <f t="shared" si="62"/>
        <v/>
      </c>
      <c r="I222" s="3">
        <f t="shared" si="63"/>
        <v>0</v>
      </c>
      <c r="L222" s="35">
        <f t="shared" si="71"/>
        <v>1</v>
      </c>
      <c r="O222" s="27">
        <f t="shared" si="64"/>
        <v>0</v>
      </c>
      <c r="P222" s="3">
        <v>220</v>
      </c>
      <c r="Q222" s="3" t="e">
        <f t="shared" si="68"/>
        <v>#N/A</v>
      </c>
      <c r="R222" s="3" t="e">
        <f t="shared" si="69"/>
        <v>#N/A</v>
      </c>
      <c r="T222" s="46" t="str">
        <f t="shared" si="65"/>
        <v/>
      </c>
      <c r="U222" s="48" t="str">
        <f t="shared" si="66"/>
        <v/>
      </c>
      <c r="W222" s="56">
        <f t="shared" si="57"/>
        <v>0</v>
      </c>
      <c r="X222" s="57" t="str">
        <f t="shared" si="58"/>
        <v/>
      </c>
      <c r="Y222" s="58">
        <f t="shared" si="59"/>
        <v>0</v>
      </c>
      <c r="AA222" s="62" t="str">
        <f t="shared" si="70"/>
        <v/>
      </c>
    </row>
    <row r="223" spans="3:27">
      <c r="C223" s="82"/>
      <c r="E223" s="30" t="str">
        <f t="shared" si="67"/>
        <v>00:00:00</v>
      </c>
      <c r="F223" s="36" t="str">
        <f t="shared" si="60"/>
        <v/>
      </c>
      <c r="G223" s="36">
        <f t="shared" si="61"/>
        <v>0</v>
      </c>
      <c r="H223" s="3" t="str">
        <f t="shared" si="62"/>
        <v/>
      </c>
      <c r="I223" s="3">
        <f t="shared" si="63"/>
        <v>0</v>
      </c>
      <c r="L223" s="35">
        <f t="shared" si="71"/>
        <v>1</v>
      </c>
      <c r="O223" s="27">
        <f t="shared" si="64"/>
        <v>0</v>
      </c>
      <c r="P223" s="3">
        <v>221</v>
      </c>
      <c r="Q223" s="3" t="e">
        <f t="shared" si="68"/>
        <v>#N/A</v>
      </c>
      <c r="R223" s="3" t="e">
        <f t="shared" si="69"/>
        <v>#N/A</v>
      </c>
      <c r="T223" s="46" t="str">
        <f t="shared" si="65"/>
        <v/>
      </c>
      <c r="U223" s="48" t="str">
        <f t="shared" si="66"/>
        <v/>
      </c>
      <c r="W223" s="56">
        <f t="shared" si="57"/>
        <v>0</v>
      </c>
      <c r="X223" s="57" t="str">
        <f t="shared" si="58"/>
        <v/>
      </c>
      <c r="Y223" s="58">
        <f t="shared" si="59"/>
        <v>0</v>
      </c>
      <c r="AA223" s="62" t="str">
        <f t="shared" si="70"/>
        <v/>
      </c>
    </row>
    <row r="224" spans="3:27">
      <c r="C224" s="82"/>
      <c r="E224" s="30" t="str">
        <f t="shared" si="67"/>
        <v>00:00:00</v>
      </c>
      <c r="F224" s="36" t="str">
        <f t="shared" si="60"/>
        <v/>
      </c>
      <c r="G224" s="36">
        <f t="shared" si="61"/>
        <v>0</v>
      </c>
      <c r="H224" s="3" t="str">
        <f t="shared" si="62"/>
        <v/>
      </c>
      <c r="I224" s="3">
        <f t="shared" si="63"/>
        <v>0</v>
      </c>
      <c r="L224" s="35">
        <f t="shared" si="71"/>
        <v>1</v>
      </c>
      <c r="O224" s="27">
        <f t="shared" si="64"/>
        <v>0</v>
      </c>
      <c r="P224" s="3">
        <v>222</v>
      </c>
      <c r="Q224" s="3" t="e">
        <f t="shared" si="68"/>
        <v>#N/A</v>
      </c>
      <c r="R224" s="3" t="e">
        <f t="shared" si="69"/>
        <v>#N/A</v>
      </c>
      <c r="T224" s="46" t="str">
        <f t="shared" si="65"/>
        <v/>
      </c>
      <c r="U224" s="48" t="str">
        <f t="shared" si="66"/>
        <v/>
      </c>
      <c r="W224" s="56">
        <f t="shared" si="57"/>
        <v>0</v>
      </c>
      <c r="X224" s="57" t="str">
        <f t="shared" si="58"/>
        <v/>
      </c>
      <c r="Y224" s="58">
        <f t="shared" si="59"/>
        <v>0</v>
      </c>
      <c r="AA224" s="62" t="str">
        <f t="shared" si="70"/>
        <v/>
      </c>
    </row>
    <row r="225" spans="3:27">
      <c r="C225" s="82"/>
      <c r="E225" s="30" t="str">
        <f t="shared" si="67"/>
        <v>00:00:00</v>
      </c>
      <c r="F225" s="36" t="str">
        <f t="shared" si="60"/>
        <v/>
      </c>
      <c r="G225" s="36">
        <f t="shared" si="61"/>
        <v>0</v>
      </c>
      <c r="H225" s="3" t="str">
        <f t="shared" si="62"/>
        <v/>
      </c>
      <c r="I225" s="3">
        <f t="shared" si="63"/>
        <v>0</v>
      </c>
      <c r="L225" s="35">
        <f t="shared" si="71"/>
        <v>1</v>
      </c>
      <c r="O225" s="27">
        <f t="shared" si="64"/>
        <v>0</v>
      </c>
      <c r="P225" s="3">
        <v>223</v>
      </c>
      <c r="Q225" s="3" t="e">
        <f t="shared" si="68"/>
        <v>#N/A</v>
      </c>
      <c r="R225" s="3" t="e">
        <f t="shared" si="69"/>
        <v>#N/A</v>
      </c>
      <c r="T225" s="46" t="str">
        <f t="shared" si="65"/>
        <v/>
      </c>
      <c r="U225" s="48" t="str">
        <f t="shared" si="66"/>
        <v/>
      </c>
      <c r="W225" s="56">
        <f t="shared" si="57"/>
        <v>0</v>
      </c>
      <c r="X225" s="57" t="str">
        <f t="shared" si="58"/>
        <v/>
      </c>
      <c r="Y225" s="58">
        <f t="shared" si="59"/>
        <v>0</v>
      </c>
      <c r="AA225" s="62" t="str">
        <f t="shared" si="70"/>
        <v/>
      </c>
    </row>
    <row r="226" spans="3:27">
      <c r="C226" s="82"/>
      <c r="E226" s="30" t="str">
        <f t="shared" si="67"/>
        <v>00:00:00</v>
      </c>
      <c r="F226" s="36" t="str">
        <f t="shared" si="60"/>
        <v/>
      </c>
      <c r="G226" s="36">
        <f t="shared" si="61"/>
        <v>0</v>
      </c>
      <c r="H226" s="3" t="str">
        <f t="shared" si="62"/>
        <v/>
      </c>
      <c r="I226" s="3">
        <f t="shared" si="63"/>
        <v>0</v>
      </c>
      <c r="L226" s="35">
        <f t="shared" si="71"/>
        <v>1</v>
      </c>
      <c r="O226" s="27">
        <f t="shared" si="64"/>
        <v>0</v>
      </c>
      <c r="P226" s="3">
        <v>224</v>
      </c>
      <c r="Q226" s="3" t="e">
        <f t="shared" si="68"/>
        <v>#N/A</v>
      </c>
      <c r="R226" s="3" t="e">
        <f t="shared" si="69"/>
        <v>#N/A</v>
      </c>
      <c r="T226" s="46" t="str">
        <f t="shared" si="65"/>
        <v/>
      </c>
      <c r="U226" s="48" t="str">
        <f t="shared" si="66"/>
        <v/>
      </c>
      <c r="W226" s="56">
        <f t="shared" si="57"/>
        <v>0</v>
      </c>
      <c r="X226" s="57" t="str">
        <f t="shared" si="58"/>
        <v/>
      </c>
      <c r="Y226" s="58">
        <f t="shared" si="59"/>
        <v>0</v>
      </c>
      <c r="AA226" s="62" t="str">
        <f t="shared" si="70"/>
        <v/>
      </c>
    </row>
    <row r="227" spans="3:27">
      <c r="C227" s="82"/>
      <c r="E227" s="30" t="str">
        <f t="shared" si="67"/>
        <v>00:00:00</v>
      </c>
      <c r="F227" s="36" t="str">
        <f t="shared" si="60"/>
        <v/>
      </c>
      <c r="G227" s="36">
        <f t="shared" si="61"/>
        <v>0</v>
      </c>
      <c r="H227" s="3" t="str">
        <f t="shared" si="62"/>
        <v/>
      </c>
      <c r="I227" s="3">
        <f t="shared" si="63"/>
        <v>0</v>
      </c>
      <c r="L227" s="35">
        <f t="shared" si="71"/>
        <v>1</v>
      </c>
      <c r="O227" s="27">
        <f t="shared" si="64"/>
        <v>0</v>
      </c>
      <c r="P227" s="3">
        <v>225</v>
      </c>
      <c r="Q227" s="3" t="e">
        <f t="shared" si="68"/>
        <v>#N/A</v>
      </c>
      <c r="R227" s="3" t="e">
        <f t="shared" si="69"/>
        <v>#N/A</v>
      </c>
      <c r="T227" s="46" t="str">
        <f t="shared" si="65"/>
        <v/>
      </c>
      <c r="U227" s="48" t="str">
        <f t="shared" si="66"/>
        <v/>
      </c>
      <c r="W227" s="56">
        <f t="shared" si="57"/>
        <v>0</v>
      </c>
      <c r="X227" s="57" t="str">
        <f t="shared" si="58"/>
        <v/>
      </c>
      <c r="Y227" s="58">
        <f t="shared" si="59"/>
        <v>0</v>
      </c>
      <c r="AA227" s="62" t="str">
        <f t="shared" si="70"/>
        <v/>
      </c>
    </row>
    <row r="228" spans="3:27">
      <c r="C228" s="82"/>
      <c r="E228" s="30" t="str">
        <f t="shared" si="67"/>
        <v>00:00:00</v>
      </c>
      <c r="F228" s="36" t="str">
        <f t="shared" si="60"/>
        <v/>
      </c>
      <c r="G228" s="36">
        <f t="shared" si="61"/>
        <v>0</v>
      </c>
      <c r="H228" s="3" t="str">
        <f t="shared" si="62"/>
        <v/>
      </c>
      <c r="I228" s="3">
        <f t="shared" si="63"/>
        <v>0</v>
      </c>
      <c r="L228" s="35">
        <f t="shared" si="71"/>
        <v>1</v>
      </c>
      <c r="O228" s="27">
        <f t="shared" si="64"/>
        <v>0</v>
      </c>
      <c r="P228" s="3">
        <v>226</v>
      </c>
      <c r="Q228" s="3" t="e">
        <f t="shared" si="68"/>
        <v>#N/A</v>
      </c>
      <c r="R228" s="3" t="e">
        <f t="shared" si="69"/>
        <v>#N/A</v>
      </c>
      <c r="T228" s="46" t="str">
        <f t="shared" si="65"/>
        <v/>
      </c>
      <c r="U228" s="48" t="str">
        <f t="shared" si="66"/>
        <v/>
      </c>
      <c r="W228" s="56">
        <f t="shared" si="57"/>
        <v>0</v>
      </c>
      <c r="X228" s="57" t="str">
        <f t="shared" si="58"/>
        <v/>
      </c>
      <c r="Y228" s="58">
        <f t="shared" si="59"/>
        <v>0</v>
      </c>
      <c r="AA228" s="62" t="str">
        <f t="shared" si="70"/>
        <v/>
      </c>
    </row>
    <row r="229" spans="3:27">
      <c r="C229" s="82"/>
      <c r="E229" s="30" t="str">
        <f t="shared" si="67"/>
        <v>00:00:00</v>
      </c>
      <c r="F229" s="36" t="str">
        <f t="shared" si="60"/>
        <v/>
      </c>
      <c r="G229" s="36">
        <f t="shared" si="61"/>
        <v>0</v>
      </c>
      <c r="H229" s="3" t="str">
        <f t="shared" si="62"/>
        <v/>
      </c>
      <c r="I229" s="3">
        <f t="shared" si="63"/>
        <v>0</v>
      </c>
      <c r="L229" s="35">
        <f t="shared" si="71"/>
        <v>1</v>
      </c>
      <c r="O229" s="27">
        <f t="shared" si="64"/>
        <v>0</v>
      </c>
      <c r="P229" s="3">
        <v>227</v>
      </c>
      <c r="Q229" s="3" t="e">
        <f t="shared" si="68"/>
        <v>#N/A</v>
      </c>
      <c r="R229" s="3" t="e">
        <f t="shared" si="69"/>
        <v>#N/A</v>
      </c>
      <c r="T229" s="46" t="str">
        <f t="shared" si="65"/>
        <v/>
      </c>
      <c r="U229" s="48" t="str">
        <f t="shared" si="66"/>
        <v/>
      </c>
      <c r="W229" s="56">
        <f t="shared" si="57"/>
        <v>0</v>
      </c>
      <c r="X229" s="57" t="str">
        <f t="shared" si="58"/>
        <v/>
      </c>
      <c r="Y229" s="58">
        <f t="shared" si="59"/>
        <v>0</v>
      </c>
      <c r="AA229" s="62" t="str">
        <f t="shared" si="70"/>
        <v/>
      </c>
    </row>
    <row r="230" spans="3:27">
      <c r="C230" s="82"/>
      <c r="E230" s="30" t="str">
        <f t="shared" si="67"/>
        <v>00:00:00</v>
      </c>
      <c r="F230" s="36" t="str">
        <f t="shared" si="60"/>
        <v/>
      </c>
      <c r="G230" s="36">
        <f t="shared" si="61"/>
        <v>0</v>
      </c>
      <c r="H230" s="3" t="str">
        <f t="shared" si="62"/>
        <v/>
      </c>
      <c r="I230" s="3">
        <f t="shared" si="63"/>
        <v>0</v>
      </c>
      <c r="L230" s="35">
        <f t="shared" si="71"/>
        <v>1</v>
      </c>
      <c r="O230" s="27">
        <f t="shared" si="64"/>
        <v>0</v>
      </c>
      <c r="P230" s="3">
        <v>228</v>
      </c>
      <c r="Q230" s="3" t="e">
        <f t="shared" si="68"/>
        <v>#N/A</v>
      </c>
      <c r="R230" s="3" t="e">
        <f t="shared" si="69"/>
        <v>#N/A</v>
      </c>
      <c r="T230" s="46" t="str">
        <f t="shared" si="65"/>
        <v/>
      </c>
      <c r="U230" s="48" t="str">
        <f t="shared" si="66"/>
        <v/>
      </c>
      <c r="W230" s="56">
        <f t="shared" si="57"/>
        <v>0</v>
      </c>
      <c r="X230" s="57" t="str">
        <f t="shared" si="58"/>
        <v/>
      </c>
      <c r="Y230" s="58">
        <f t="shared" si="59"/>
        <v>0</v>
      </c>
      <c r="AA230" s="62" t="str">
        <f t="shared" si="70"/>
        <v/>
      </c>
    </row>
    <row r="231" spans="3:27">
      <c r="C231" s="82"/>
      <c r="E231" s="30" t="str">
        <f t="shared" si="67"/>
        <v>00:00:00</v>
      </c>
      <c r="F231" s="36" t="str">
        <f t="shared" si="60"/>
        <v/>
      </c>
      <c r="G231" s="36">
        <f t="shared" si="61"/>
        <v>0</v>
      </c>
      <c r="H231" s="3" t="str">
        <f t="shared" si="62"/>
        <v/>
      </c>
      <c r="I231" s="3">
        <f t="shared" si="63"/>
        <v>0</v>
      </c>
      <c r="L231" s="35">
        <f t="shared" si="71"/>
        <v>1</v>
      </c>
      <c r="O231" s="27">
        <f t="shared" si="64"/>
        <v>0</v>
      </c>
      <c r="P231" s="3">
        <v>229</v>
      </c>
      <c r="Q231" s="3" t="e">
        <f t="shared" si="68"/>
        <v>#N/A</v>
      </c>
      <c r="R231" s="3" t="e">
        <f t="shared" si="69"/>
        <v>#N/A</v>
      </c>
      <c r="T231" s="46" t="str">
        <f t="shared" si="65"/>
        <v/>
      </c>
      <c r="U231" s="48" t="str">
        <f t="shared" si="66"/>
        <v/>
      </c>
      <c r="W231" s="56">
        <f t="shared" si="57"/>
        <v>0</v>
      </c>
      <c r="X231" s="57" t="str">
        <f t="shared" si="58"/>
        <v/>
      </c>
      <c r="Y231" s="58">
        <f t="shared" si="59"/>
        <v>0</v>
      </c>
      <c r="AA231" s="62" t="str">
        <f t="shared" si="70"/>
        <v/>
      </c>
    </row>
    <row r="232" spans="3:27">
      <c r="C232" s="82"/>
      <c r="E232" s="30" t="str">
        <f t="shared" si="67"/>
        <v>00:00:00</v>
      </c>
      <c r="F232" s="36" t="str">
        <f t="shared" si="60"/>
        <v/>
      </c>
      <c r="G232" s="36">
        <f t="shared" si="61"/>
        <v>0</v>
      </c>
      <c r="H232" s="3" t="str">
        <f t="shared" si="62"/>
        <v/>
      </c>
      <c r="I232" s="3">
        <f t="shared" si="63"/>
        <v>0</v>
      </c>
      <c r="L232" s="35">
        <f t="shared" si="71"/>
        <v>1</v>
      </c>
      <c r="O232" s="27">
        <f t="shared" si="64"/>
        <v>0</v>
      </c>
      <c r="P232" s="3">
        <v>230</v>
      </c>
      <c r="Q232" s="3" t="e">
        <f t="shared" si="68"/>
        <v>#N/A</v>
      </c>
      <c r="R232" s="3" t="e">
        <f t="shared" si="69"/>
        <v>#N/A</v>
      </c>
      <c r="T232" s="46" t="str">
        <f t="shared" si="65"/>
        <v/>
      </c>
      <c r="U232" s="48" t="str">
        <f t="shared" si="66"/>
        <v/>
      </c>
      <c r="W232" s="56">
        <f t="shared" si="57"/>
        <v>0</v>
      </c>
      <c r="X232" s="57" t="str">
        <f t="shared" si="58"/>
        <v/>
      </c>
      <c r="Y232" s="58">
        <f t="shared" si="59"/>
        <v>0</v>
      </c>
      <c r="AA232" s="62" t="str">
        <f t="shared" si="70"/>
        <v/>
      </c>
    </row>
    <row r="233" spans="3:27">
      <c r="C233" s="82"/>
      <c r="E233" s="30" t="str">
        <f t="shared" si="67"/>
        <v>00:00:00</v>
      </c>
      <c r="F233" s="36" t="str">
        <f t="shared" si="60"/>
        <v/>
      </c>
      <c r="G233" s="36">
        <f t="shared" si="61"/>
        <v>0</v>
      </c>
      <c r="H233" s="3" t="str">
        <f t="shared" si="62"/>
        <v/>
      </c>
      <c r="I233" s="3">
        <f t="shared" si="63"/>
        <v>0</v>
      </c>
      <c r="L233" s="35">
        <f t="shared" si="71"/>
        <v>1</v>
      </c>
      <c r="O233" s="27">
        <f t="shared" si="64"/>
        <v>0</v>
      </c>
      <c r="P233" s="3">
        <v>231</v>
      </c>
      <c r="Q233" s="3" t="e">
        <f t="shared" si="68"/>
        <v>#N/A</v>
      </c>
      <c r="R233" s="3" t="e">
        <f t="shared" si="69"/>
        <v>#N/A</v>
      </c>
      <c r="T233" s="46" t="str">
        <f t="shared" si="65"/>
        <v/>
      </c>
      <c r="U233" s="48" t="str">
        <f t="shared" si="66"/>
        <v/>
      </c>
      <c r="W233" s="56">
        <f t="shared" si="57"/>
        <v>0</v>
      </c>
      <c r="X233" s="57" t="str">
        <f t="shared" si="58"/>
        <v/>
      </c>
      <c r="Y233" s="58">
        <f t="shared" si="59"/>
        <v>0</v>
      </c>
      <c r="AA233" s="62" t="str">
        <f t="shared" si="70"/>
        <v/>
      </c>
    </row>
    <row r="234" spans="3:27">
      <c r="C234" s="82"/>
      <c r="E234" s="30" t="str">
        <f t="shared" si="67"/>
        <v>00:00:00</v>
      </c>
      <c r="F234" s="36" t="str">
        <f t="shared" si="60"/>
        <v/>
      </c>
      <c r="G234" s="36">
        <f t="shared" si="61"/>
        <v>0</v>
      </c>
      <c r="H234" s="3" t="str">
        <f t="shared" si="62"/>
        <v/>
      </c>
      <c r="I234" s="3">
        <f t="shared" si="63"/>
        <v>0</v>
      </c>
      <c r="L234" s="35">
        <f t="shared" si="71"/>
        <v>1</v>
      </c>
      <c r="O234" s="27">
        <f t="shared" si="64"/>
        <v>0</v>
      </c>
      <c r="P234" s="3">
        <v>232</v>
      </c>
      <c r="Q234" s="3" t="e">
        <f t="shared" si="68"/>
        <v>#N/A</v>
      </c>
      <c r="R234" s="3" t="e">
        <f t="shared" si="69"/>
        <v>#N/A</v>
      </c>
      <c r="T234" s="46" t="str">
        <f t="shared" si="65"/>
        <v/>
      </c>
      <c r="U234" s="48" t="str">
        <f t="shared" si="66"/>
        <v/>
      </c>
      <c r="W234" s="56">
        <f t="shared" si="57"/>
        <v>0</v>
      </c>
      <c r="X234" s="57" t="str">
        <f t="shared" si="58"/>
        <v/>
      </c>
      <c r="Y234" s="58">
        <f t="shared" si="59"/>
        <v>0</v>
      </c>
      <c r="AA234" s="62" t="str">
        <f t="shared" si="70"/>
        <v/>
      </c>
    </row>
    <row r="235" spans="3:27">
      <c r="C235" s="82"/>
      <c r="E235" s="30" t="str">
        <f t="shared" si="67"/>
        <v>00:00:00</v>
      </c>
      <c r="F235" s="36" t="str">
        <f t="shared" si="60"/>
        <v/>
      </c>
      <c r="G235" s="36">
        <f t="shared" si="61"/>
        <v>0</v>
      </c>
      <c r="H235" s="3" t="str">
        <f t="shared" si="62"/>
        <v/>
      </c>
      <c r="I235" s="3">
        <f t="shared" si="63"/>
        <v>0</v>
      </c>
      <c r="L235" s="35">
        <f t="shared" si="71"/>
        <v>1</v>
      </c>
      <c r="O235" s="27">
        <f t="shared" si="64"/>
        <v>0</v>
      </c>
      <c r="P235" s="3">
        <v>233</v>
      </c>
      <c r="Q235" s="3" t="e">
        <f t="shared" si="68"/>
        <v>#N/A</v>
      </c>
      <c r="R235" s="3" t="e">
        <f t="shared" si="69"/>
        <v>#N/A</v>
      </c>
      <c r="T235" s="46" t="str">
        <f t="shared" si="65"/>
        <v/>
      </c>
      <c r="U235" s="48" t="str">
        <f t="shared" si="66"/>
        <v/>
      </c>
      <c r="W235" s="56">
        <f t="shared" si="57"/>
        <v>0</v>
      </c>
      <c r="X235" s="57" t="str">
        <f t="shared" si="58"/>
        <v/>
      </c>
      <c r="Y235" s="58">
        <f t="shared" si="59"/>
        <v>0</v>
      </c>
      <c r="AA235" s="62" t="str">
        <f t="shared" si="70"/>
        <v/>
      </c>
    </row>
    <row r="236" spans="3:27">
      <c r="C236" s="82"/>
      <c r="E236" s="30" t="str">
        <f t="shared" si="67"/>
        <v>00:00:00</v>
      </c>
      <c r="F236" s="36" t="str">
        <f t="shared" si="60"/>
        <v/>
      </c>
      <c r="G236" s="36">
        <f t="shared" si="61"/>
        <v>0</v>
      </c>
      <c r="H236" s="3" t="str">
        <f t="shared" si="62"/>
        <v/>
      </c>
      <c r="I236" s="3">
        <f t="shared" si="63"/>
        <v>0</v>
      </c>
      <c r="L236" s="35">
        <f t="shared" si="71"/>
        <v>1</v>
      </c>
      <c r="O236" s="27">
        <f t="shared" si="64"/>
        <v>0</v>
      </c>
      <c r="P236" s="3">
        <v>234</v>
      </c>
      <c r="Q236" s="3" t="e">
        <f t="shared" si="68"/>
        <v>#N/A</v>
      </c>
      <c r="R236" s="3" t="e">
        <f t="shared" si="69"/>
        <v>#N/A</v>
      </c>
      <c r="T236" s="46" t="str">
        <f t="shared" si="65"/>
        <v/>
      </c>
      <c r="U236" s="48" t="str">
        <f t="shared" si="66"/>
        <v/>
      </c>
      <c r="W236" s="56">
        <f t="shared" si="57"/>
        <v>0</v>
      </c>
      <c r="X236" s="57" t="str">
        <f t="shared" si="58"/>
        <v/>
      </c>
      <c r="Y236" s="58">
        <f t="shared" si="59"/>
        <v>0</v>
      </c>
      <c r="AA236" s="62" t="str">
        <f t="shared" si="70"/>
        <v/>
      </c>
    </row>
    <row r="237" spans="3:27">
      <c r="C237" s="82"/>
      <c r="E237" s="30" t="str">
        <f t="shared" si="67"/>
        <v>00:00:00</v>
      </c>
      <c r="F237" s="36" t="str">
        <f t="shared" si="60"/>
        <v/>
      </c>
      <c r="G237" s="36">
        <f t="shared" si="61"/>
        <v>0</v>
      </c>
      <c r="H237" s="3" t="str">
        <f t="shared" si="62"/>
        <v/>
      </c>
      <c r="I237" s="3">
        <f t="shared" si="63"/>
        <v>0</v>
      </c>
      <c r="L237" s="35">
        <f t="shared" si="71"/>
        <v>1</v>
      </c>
      <c r="O237" s="27">
        <f t="shared" si="64"/>
        <v>0</v>
      </c>
      <c r="P237" s="3">
        <v>235</v>
      </c>
      <c r="Q237" s="3" t="e">
        <f t="shared" si="68"/>
        <v>#N/A</v>
      </c>
      <c r="R237" s="3" t="e">
        <f t="shared" si="69"/>
        <v>#N/A</v>
      </c>
      <c r="T237" s="46" t="str">
        <f t="shared" si="65"/>
        <v/>
      </c>
      <c r="U237" s="48" t="str">
        <f t="shared" si="66"/>
        <v/>
      </c>
      <c r="W237" s="56">
        <f t="shared" si="57"/>
        <v>0</v>
      </c>
      <c r="X237" s="57" t="str">
        <f t="shared" si="58"/>
        <v/>
      </c>
      <c r="Y237" s="58">
        <f t="shared" si="59"/>
        <v>0</v>
      </c>
      <c r="AA237" s="62" t="str">
        <f t="shared" si="70"/>
        <v/>
      </c>
    </row>
    <row r="238" spans="3:27">
      <c r="C238" s="82"/>
      <c r="E238" s="30" t="str">
        <f t="shared" si="67"/>
        <v>00:00:00</v>
      </c>
      <c r="F238" s="36" t="str">
        <f t="shared" si="60"/>
        <v/>
      </c>
      <c r="G238" s="36">
        <f t="shared" si="61"/>
        <v>0</v>
      </c>
      <c r="H238" s="3" t="str">
        <f t="shared" si="62"/>
        <v/>
      </c>
      <c r="I238" s="3">
        <f t="shared" si="63"/>
        <v>0</v>
      </c>
      <c r="L238" s="35">
        <f t="shared" si="71"/>
        <v>1</v>
      </c>
      <c r="O238" s="27">
        <f t="shared" si="64"/>
        <v>0</v>
      </c>
      <c r="P238" s="3">
        <v>236</v>
      </c>
      <c r="Q238" s="3" t="e">
        <f t="shared" si="68"/>
        <v>#N/A</v>
      </c>
      <c r="R238" s="3" t="e">
        <f t="shared" si="69"/>
        <v>#N/A</v>
      </c>
      <c r="T238" s="46" t="str">
        <f t="shared" si="65"/>
        <v/>
      </c>
      <c r="U238" s="48" t="str">
        <f t="shared" si="66"/>
        <v/>
      </c>
      <c r="W238" s="56">
        <f t="shared" si="57"/>
        <v>0</v>
      </c>
      <c r="X238" s="57" t="str">
        <f t="shared" si="58"/>
        <v/>
      </c>
      <c r="Y238" s="58">
        <f t="shared" si="59"/>
        <v>0</v>
      </c>
      <c r="AA238" s="62" t="str">
        <f t="shared" si="70"/>
        <v/>
      </c>
    </row>
    <row r="239" spans="3:27">
      <c r="C239" s="82"/>
      <c r="E239" s="30" t="str">
        <f t="shared" si="67"/>
        <v>00:00:00</v>
      </c>
      <c r="F239" s="36" t="str">
        <f t="shared" si="60"/>
        <v/>
      </c>
      <c r="G239" s="36">
        <f t="shared" si="61"/>
        <v>0</v>
      </c>
      <c r="H239" s="3" t="str">
        <f t="shared" si="62"/>
        <v/>
      </c>
      <c r="I239" s="3">
        <f t="shared" si="63"/>
        <v>0</v>
      </c>
      <c r="L239" s="35">
        <f t="shared" si="71"/>
        <v>1</v>
      </c>
      <c r="O239" s="27">
        <f t="shared" si="64"/>
        <v>0</v>
      </c>
      <c r="P239" s="3">
        <v>237</v>
      </c>
      <c r="Q239" s="3" t="e">
        <f t="shared" si="68"/>
        <v>#N/A</v>
      </c>
      <c r="R239" s="3" t="e">
        <f t="shared" si="69"/>
        <v>#N/A</v>
      </c>
      <c r="T239" s="46" t="str">
        <f t="shared" si="65"/>
        <v/>
      </c>
      <c r="U239" s="48" t="str">
        <f t="shared" si="66"/>
        <v/>
      </c>
      <c r="W239" s="56">
        <f t="shared" si="57"/>
        <v>0</v>
      </c>
      <c r="X239" s="57" t="str">
        <f t="shared" si="58"/>
        <v/>
      </c>
      <c r="Y239" s="58">
        <f t="shared" si="59"/>
        <v>0</v>
      </c>
      <c r="AA239" s="62" t="str">
        <f t="shared" si="70"/>
        <v/>
      </c>
    </row>
    <row r="240" spans="3:27">
      <c r="C240" s="82"/>
      <c r="E240" s="30" t="str">
        <f t="shared" si="67"/>
        <v>00:00:00</v>
      </c>
      <c r="F240" s="36" t="str">
        <f t="shared" si="60"/>
        <v/>
      </c>
      <c r="G240" s="36">
        <f t="shared" si="61"/>
        <v>0</v>
      </c>
      <c r="H240" s="3" t="str">
        <f t="shared" si="62"/>
        <v/>
      </c>
      <c r="I240" s="3">
        <f t="shared" si="63"/>
        <v>0</v>
      </c>
      <c r="L240" s="35">
        <f t="shared" si="71"/>
        <v>1</v>
      </c>
      <c r="O240" s="27">
        <f t="shared" si="64"/>
        <v>0</v>
      </c>
      <c r="P240" s="3">
        <v>238</v>
      </c>
      <c r="Q240" s="3" t="e">
        <f t="shared" si="68"/>
        <v>#N/A</v>
      </c>
      <c r="R240" s="3" t="e">
        <f t="shared" si="69"/>
        <v>#N/A</v>
      </c>
      <c r="T240" s="46" t="str">
        <f t="shared" si="65"/>
        <v/>
      </c>
      <c r="U240" s="48" t="str">
        <f t="shared" si="66"/>
        <v/>
      </c>
      <c r="W240" s="56">
        <f t="shared" si="57"/>
        <v>0</v>
      </c>
      <c r="X240" s="57" t="str">
        <f t="shared" si="58"/>
        <v/>
      </c>
      <c r="Y240" s="58">
        <f t="shared" si="59"/>
        <v>0</v>
      </c>
      <c r="AA240" s="62" t="str">
        <f t="shared" si="70"/>
        <v/>
      </c>
    </row>
    <row r="241" spans="3:27">
      <c r="C241" s="82"/>
      <c r="E241" s="30" t="str">
        <f t="shared" si="67"/>
        <v>00:00:00</v>
      </c>
      <c r="F241" s="36" t="str">
        <f t="shared" si="60"/>
        <v/>
      </c>
      <c r="G241" s="36">
        <f t="shared" si="61"/>
        <v>0</v>
      </c>
      <c r="H241" s="3" t="str">
        <f t="shared" si="62"/>
        <v/>
      </c>
      <c r="I241" s="3">
        <f t="shared" si="63"/>
        <v>0</v>
      </c>
      <c r="L241" s="35">
        <f t="shared" si="71"/>
        <v>1</v>
      </c>
      <c r="O241" s="27">
        <f t="shared" si="64"/>
        <v>0</v>
      </c>
      <c r="P241" s="3">
        <v>239</v>
      </c>
      <c r="Q241" s="3" t="e">
        <f t="shared" si="68"/>
        <v>#N/A</v>
      </c>
      <c r="R241" s="3" t="e">
        <f t="shared" si="69"/>
        <v>#N/A</v>
      </c>
      <c r="T241" s="46" t="str">
        <f t="shared" si="65"/>
        <v/>
      </c>
      <c r="U241" s="48" t="str">
        <f t="shared" si="66"/>
        <v/>
      </c>
      <c r="W241" s="56">
        <f t="shared" si="57"/>
        <v>0</v>
      </c>
      <c r="X241" s="57" t="str">
        <f t="shared" si="58"/>
        <v/>
      </c>
      <c r="Y241" s="58">
        <f t="shared" si="59"/>
        <v>0</v>
      </c>
      <c r="AA241" s="62" t="str">
        <f t="shared" si="70"/>
        <v/>
      </c>
    </row>
    <row r="242" spans="3:27">
      <c r="C242" s="82"/>
      <c r="E242" s="30" t="str">
        <f t="shared" si="67"/>
        <v>00:00:00</v>
      </c>
      <c r="F242" s="36" t="str">
        <f t="shared" si="60"/>
        <v/>
      </c>
      <c r="G242" s="36">
        <f t="shared" si="61"/>
        <v>0</v>
      </c>
      <c r="H242" s="3" t="str">
        <f t="shared" si="62"/>
        <v/>
      </c>
      <c r="I242" s="3">
        <f t="shared" si="63"/>
        <v>0</v>
      </c>
      <c r="L242" s="35">
        <f t="shared" si="71"/>
        <v>1</v>
      </c>
      <c r="O242" s="27">
        <f t="shared" si="64"/>
        <v>0</v>
      </c>
      <c r="P242" s="3">
        <v>240</v>
      </c>
      <c r="Q242" s="3" t="e">
        <f t="shared" si="68"/>
        <v>#N/A</v>
      </c>
      <c r="R242" s="3" t="e">
        <f t="shared" si="69"/>
        <v>#N/A</v>
      </c>
      <c r="T242" s="46" t="str">
        <f t="shared" si="65"/>
        <v/>
      </c>
      <c r="U242" s="48" t="str">
        <f t="shared" si="66"/>
        <v/>
      </c>
      <c r="W242" s="56">
        <f t="shared" si="57"/>
        <v>0</v>
      </c>
      <c r="X242" s="57" t="str">
        <f t="shared" si="58"/>
        <v/>
      </c>
      <c r="Y242" s="58">
        <f t="shared" si="59"/>
        <v>0</v>
      </c>
      <c r="AA242" s="62" t="str">
        <f t="shared" si="70"/>
        <v/>
      </c>
    </row>
    <row r="243" spans="3:27">
      <c r="C243" s="82"/>
      <c r="E243" s="30" t="str">
        <f t="shared" si="67"/>
        <v>00:00:00</v>
      </c>
      <c r="F243" s="36" t="str">
        <f t="shared" si="60"/>
        <v/>
      </c>
      <c r="G243" s="36">
        <f t="shared" si="61"/>
        <v>0</v>
      </c>
      <c r="H243" s="3" t="str">
        <f t="shared" si="62"/>
        <v/>
      </c>
      <c r="I243" s="3">
        <f t="shared" si="63"/>
        <v>0</v>
      </c>
      <c r="L243" s="35">
        <f t="shared" si="71"/>
        <v>1</v>
      </c>
      <c r="O243" s="27">
        <f t="shared" si="64"/>
        <v>0</v>
      </c>
      <c r="P243" s="3">
        <v>241</v>
      </c>
      <c r="Q243" s="3" t="e">
        <f t="shared" si="68"/>
        <v>#N/A</v>
      </c>
      <c r="R243" s="3" t="e">
        <f t="shared" si="69"/>
        <v>#N/A</v>
      </c>
      <c r="T243" s="46" t="str">
        <f t="shared" si="65"/>
        <v/>
      </c>
      <c r="U243" s="48" t="str">
        <f t="shared" si="66"/>
        <v/>
      </c>
      <c r="W243" s="56">
        <f t="shared" si="57"/>
        <v>0</v>
      </c>
      <c r="X243" s="57" t="str">
        <f t="shared" si="58"/>
        <v/>
      </c>
      <c r="Y243" s="58">
        <f t="shared" si="59"/>
        <v>0</v>
      </c>
      <c r="AA243" s="62" t="str">
        <f t="shared" si="70"/>
        <v/>
      </c>
    </row>
    <row r="244" spans="3:27">
      <c r="C244" s="82"/>
      <c r="E244" s="30" t="str">
        <f t="shared" si="67"/>
        <v>00:00:00</v>
      </c>
      <c r="F244" s="36" t="str">
        <f t="shared" si="60"/>
        <v/>
      </c>
      <c r="G244" s="36">
        <f t="shared" si="61"/>
        <v>0</v>
      </c>
      <c r="H244" s="3" t="str">
        <f t="shared" si="62"/>
        <v/>
      </c>
      <c r="I244" s="3">
        <f t="shared" si="63"/>
        <v>0</v>
      </c>
      <c r="L244" s="35">
        <f t="shared" si="71"/>
        <v>1</v>
      </c>
      <c r="O244" s="27">
        <f t="shared" si="64"/>
        <v>0</v>
      </c>
      <c r="P244" s="3">
        <v>242</v>
      </c>
      <c r="Q244" s="3" t="e">
        <f t="shared" si="68"/>
        <v>#N/A</v>
      </c>
      <c r="R244" s="3" t="e">
        <f t="shared" si="69"/>
        <v>#N/A</v>
      </c>
      <c r="T244" s="46" t="str">
        <f t="shared" si="65"/>
        <v/>
      </c>
      <c r="U244" s="48" t="str">
        <f t="shared" si="66"/>
        <v/>
      </c>
      <c r="W244" s="56">
        <f t="shared" si="57"/>
        <v>0</v>
      </c>
      <c r="X244" s="57" t="str">
        <f t="shared" si="58"/>
        <v/>
      </c>
      <c r="Y244" s="58">
        <f t="shared" si="59"/>
        <v>0</v>
      </c>
      <c r="AA244" s="62" t="str">
        <f t="shared" si="70"/>
        <v/>
      </c>
    </row>
    <row r="245" spans="3:27">
      <c r="C245" s="82"/>
      <c r="E245" s="30" t="str">
        <f t="shared" si="67"/>
        <v>00:00:00</v>
      </c>
      <c r="F245" s="36" t="str">
        <f t="shared" si="60"/>
        <v/>
      </c>
      <c r="G245" s="36">
        <f t="shared" si="61"/>
        <v>0</v>
      </c>
      <c r="H245" s="3" t="str">
        <f t="shared" si="62"/>
        <v/>
      </c>
      <c r="I245" s="3">
        <f t="shared" si="63"/>
        <v>0</v>
      </c>
      <c r="L245" s="35">
        <f t="shared" si="71"/>
        <v>1</v>
      </c>
      <c r="O245" s="27">
        <f t="shared" si="64"/>
        <v>0</v>
      </c>
      <c r="P245" s="3">
        <v>243</v>
      </c>
      <c r="Q245" s="3" t="e">
        <f t="shared" si="68"/>
        <v>#N/A</v>
      </c>
      <c r="R245" s="3" t="e">
        <f t="shared" si="69"/>
        <v>#N/A</v>
      </c>
      <c r="T245" s="46" t="str">
        <f t="shared" si="65"/>
        <v/>
      </c>
      <c r="U245" s="48" t="str">
        <f t="shared" si="66"/>
        <v/>
      </c>
      <c r="W245" s="56">
        <f t="shared" si="57"/>
        <v>0</v>
      </c>
      <c r="X245" s="57" t="str">
        <f t="shared" si="58"/>
        <v/>
      </c>
      <c r="Y245" s="58">
        <f t="shared" si="59"/>
        <v>0</v>
      </c>
      <c r="AA245" s="62" t="str">
        <f t="shared" si="70"/>
        <v/>
      </c>
    </row>
    <row r="246" spans="3:27">
      <c r="C246" s="82"/>
      <c r="E246" s="30" t="str">
        <f t="shared" si="67"/>
        <v>00:00:00</v>
      </c>
      <c r="F246" s="36" t="str">
        <f t="shared" si="60"/>
        <v/>
      </c>
      <c r="G246" s="36">
        <f t="shared" si="61"/>
        <v>0</v>
      </c>
      <c r="H246" s="3" t="str">
        <f t="shared" si="62"/>
        <v/>
      </c>
      <c r="I246" s="3">
        <f t="shared" si="63"/>
        <v>0</v>
      </c>
      <c r="L246" s="35">
        <f t="shared" si="71"/>
        <v>1</v>
      </c>
      <c r="O246" s="27">
        <f t="shared" si="64"/>
        <v>0</v>
      </c>
      <c r="P246" s="3">
        <v>244</v>
      </c>
      <c r="Q246" s="3" t="e">
        <f t="shared" si="68"/>
        <v>#N/A</v>
      </c>
      <c r="R246" s="3" t="e">
        <f t="shared" si="69"/>
        <v>#N/A</v>
      </c>
      <c r="T246" s="46" t="str">
        <f t="shared" si="65"/>
        <v/>
      </c>
      <c r="U246" s="48" t="str">
        <f t="shared" si="66"/>
        <v/>
      </c>
      <c r="W246" s="56">
        <f t="shared" si="57"/>
        <v>0</v>
      </c>
      <c r="X246" s="57" t="str">
        <f t="shared" si="58"/>
        <v/>
      </c>
      <c r="Y246" s="58">
        <f t="shared" si="59"/>
        <v>0</v>
      </c>
      <c r="AA246" s="62" t="str">
        <f t="shared" si="70"/>
        <v/>
      </c>
    </row>
    <row r="247" spans="3:27">
      <c r="C247" s="82"/>
      <c r="E247" s="30" t="str">
        <f t="shared" si="67"/>
        <v>00:00:00</v>
      </c>
      <c r="F247" s="36" t="str">
        <f t="shared" si="60"/>
        <v/>
      </c>
      <c r="G247" s="36">
        <f t="shared" si="61"/>
        <v>0</v>
      </c>
      <c r="H247" s="3" t="str">
        <f t="shared" si="62"/>
        <v/>
      </c>
      <c r="I247" s="3">
        <f t="shared" si="63"/>
        <v>0</v>
      </c>
      <c r="L247" s="35">
        <f t="shared" si="71"/>
        <v>1</v>
      </c>
      <c r="O247" s="27">
        <f t="shared" si="64"/>
        <v>0</v>
      </c>
      <c r="P247" s="3">
        <v>245</v>
      </c>
      <c r="Q247" s="3" t="e">
        <f t="shared" si="68"/>
        <v>#N/A</v>
      </c>
      <c r="R247" s="3" t="e">
        <f t="shared" si="69"/>
        <v>#N/A</v>
      </c>
      <c r="T247" s="46" t="str">
        <f t="shared" si="65"/>
        <v/>
      </c>
      <c r="U247" s="48" t="str">
        <f t="shared" si="66"/>
        <v/>
      </c>
      <c r="W247" s="56">
        <f t="shared" si="57"/>
        <v>0</v>
      </c>
      <c r="X247" s="57" t="str">
        <f t="shared" si="58"/>
        <v/>
      </c>
      <c r="Y247" s="58">
        <f t="shared" si="59"/>
        <v>0</v>
      </c>
      <c r="AA247" s="62" t="str">
        <f t="shared" si="70"/>
        <v/>
      </c>
    </row>
    <row r="248" spans="3:27">
      <c r="C248" s="82"/>
      <c r="E248" s="30" t="str">
        <f t="shared" si="67"/>
        <v>00:00:00</v>
      </c>
      <c r="F248" s="36" t="str">
        <f t="shared" si="60"/>
        <v/>
      </c>
      <c r="G248" s="36">
        <f t="shared" si="61"/>
        <v>0</v>
      </c>
      <c r="H248" s="3" t="str">
        <f t="shared" si="62"/>
        <v/>
      </c>
      <c r="I248" s="3">
        <f t="shared" si="63"/>
        <v>0</v>
      </c>
      <c r="L248" s="35">
        <f t="shared" si="71"/>
        <v>1</v>
      </c>
      <c r="O248" s="27">
        <f t="shared" si="64"/>
        <v>0</v>
      </c>
      <c r="P248" s="3">
        <v>246</v>
      </c>
      <c r="Q248" s="3" t="e">
        <f t="shared" si="68"/>
        <v>#N/A</v>
      </c>
      <c r="R248" s="3" t="e">
        <f t="shared" si="69"/>
        <v>#N/A</v>
      </c>
      <c r="T248" s="46" t="str">
        <f t="shared" si="65"/>
        <v/>
      </c>
      <c r="U248" s="48" t="str">
        <f t="shared" si="66"/>
        <v/>
      </c>
      <c r="W248" s="56">
        <f t="shared" si="57"/>
        <v>0</v>
      </c>
      <c r="X248" s="57" t="str">
        <f t="shared" si="58"/>
        <v/>
      </c>
      <c r="Y248" s="58">
        <f t="shared" si="59"/>
        <v>0</v>
      </c>
      <c r="AA248" s="62" t="str">
        <f t="shared" si="70"/>
        <v/>
      </c>
    </row>
    <row r="249" spans="3:27">
      <c r="C249" s="82"/>
      <c r="E249" s="30" t="str">
        <f t="shared" si="67"/>
        <v>00:00:00</v>
      </c>
      <c r="F249" s="36" t="str">
        <f t="shared" si="60"/>
        <v/>
      </c>
      <c r="G249" s="36">
        <f t="shared" si="61"/>
        <v>0</v>
      </c>
      <c r="H249" s="3" t="str">
        <f t="shared" si="62"/>
        <v/>
      </c>
      <c r="I249" s="3">
        <f t="shared" si="63"/>
        <v>0</v>
      </c>
      <c r="L249" s="35">
        <f t="shared" si="71"/>
        <v>1</v>
      </c>
      <c r="O249" s="27">
        <f t="shared" si="64"/>
        <v>0</v>
      </c>
      <c r="P249" s="3">
        <v>247</v>
      </c>
      <c r="Q249" s="3" t="e">
        <f t="shared" si="68"/>
        <v>#N/A</v>
      </c>
      <c r="R249" s="3" t="e">
        <f t="shared" si="69"/>
        <v>#N/A</v>
      </c>
      <c r="T249" s="46" t="str">
        <f t="shared" si="65"/>
        <v/>
      </c>
      <c r="U249" s="48" t="str">
        <f t="shared" si="66"/>
        <v/>
      </c>
      <c r="W249" s="56">
        <f t="shared" si="57"/>
        <v>0</v>
      </c>
      <c r="X249" s="57" t="str">
        <f t="shared" si="58"/>
        <v/>
      </c>
      <c r="Y249" s="58">
        <f t="shared" si="59"/>
        <v>0</v>
      </c>
      <c r="AA249" s="62" t="str">
        <f t="shared" si="70"/>
        <v/>
      </c>
    </row>
    <row r="250" spans="3:27">
      <c r="C250" s="82"/>
      <c r="E250" s="30" t="str">
        <f t="shared" si="67"/>
        <v>00:00:00</v>
      </c>
      <c r="F250" s="36" t="str">
        <f t="shared" si="60"/>
        <v/>
      </c>
      <c r="G250" s="36">
        <f t="shared" si="61"/>
        <v>0</v>
      </c>
      <c r="H250" s="3" t="str">
        <f t="shared" si="62"/>
        <v/>
      </c>
      <c r="I250" s="3">
        <f t="shared" si="63"/>
        <v>0</v>
      </c>
      <c r="L250" s="35">
        <f t="shared" si="71"/>
        <v>1</v>
      </c>
      <c r="O250" s="27">
        <f t="shared" si="64"/>
        <v>0</v>
      </c>
      <c r="P250" s="3">
        <v>248</v>
      </c>
      <c r="Q250" s="3" t="e">
        <f t="shared" si="68"/>
        <v>#N/A</v>
      </c>
      <c r="R250" s="3" t="e">
        <f t="shared" si="69"/>
        <v>#N/A</v>
      </c>
      <c r="T250" s="46" t="str">
        <f t="shared" si="65"/>
        <v/>
      </c>
      <c r="U250" s="48" t="str">
        <f t="shared" si="66"/>
        <v/>
      </c>
      <c r="W250" s="56">
        <f t="shared" si="57"/>
        <v>0</v>
      </c>
      <c r="X250" s="57" t="str">
        <f t="shared" si="58"/>
        <v/>
      </c>
      <c r="Y250" s="58">
        <f t="shared" si="59"/>
        <v>0</v>
      </c>
      <c r="AA250" s="62" t="str">
        <f t="shared" si="70"/>
        <v/>
      </c>
    </row>
    <row r="251" spans="3:27">
      <c r="C251" s="82"/>
      <c r="E251" s="30" t="str">
        <f t="shared" si="67"/>
        <v>00:00:00</v>
      </c>
      <c r="F251" s="36" t="str">
        <f t="shared" si="60"/>
        <v/>
      </c>
      <c r="G251" s="36">
        <f t="shared" si="61"/>
        <v>0</v>
      </c>
      <c r="H251" s="3" t="str">
        <f t="shared" si="62"/>
        <v/>
      </c>
      <c r="I251" s="3">
        <f t="shared" si="63"/>
        <v>0</v>
      </c>
      <c r="L251" s="35">
        <f t="shared" si="71"/>
        <v>1</v>
      </c>
      <c r="O251" s="27">
        <f t="shared" si="64"/>
        <v>0</v>
      </c>
      <c r="P251" s="3">
        <v>249</v>
      </c>
      <c r="Q251" s="3" t="e">
        <f t="shared" si="68"/>
        <v>#N/A</v>
      </c>
      <c r="R251" s="3" t="e">
        <f t="shared" si="69"/>
        <v>#N/A</v>
      </c>
      <c r="T251" s="46" t="str">
        <f t="shared" si="65"/>
        <v/>
      </c>
      <c r="U251" s="48" t="str">
        <f t="shared" si="66"/>
        <v/>
      </c>
      <c r="W251" s="56">
        <f t="shared" si="57"/>
        <v>0</v>
      </c>
      <c r="X251" s="57" t="str">
        <f t="shared" si="58"/>
        <v/>
      </c>
      <c r="Y251" s="58">
        <f t="shared" si="59"/>
        <v>0</v>
      </c>
      <c r="AA251" s="62" t="str">
        <f t="shared" si="70"/>
        <v/>
      </c>
    </row>
    <row r="252" spans="3:27">
      <c r="C252" s="82"/>
      <c r="E252" s="30" t="str">
        <f t="shared" si="67"/>
        <v>00:00:00</v>
      </c>
      <c r="F252" s="36" t="str">
        <f t="shared" si="60"/>
        <v/>
      </c>
      <c r="G252" s="36">
        <f t="shared" si="61"/>
        <v>0</v>
      </c>
      <c r="H252" s="3" t="str">
        <f t="shared" si="62"/>
        <v/>
      </c>
      <c r="I252" s="3">
        <f t="shared" si="63"/>
        <v>0</v>
      </c>
      <c r="L252" s="35">
        <f t="shared" si="71"/>
        <v>1</v>
      </c>
      <c r="O252" s="27">
        <f t="shared" si="64"/>
        <v>0</v>
      </c>
      <c r="P252" s="3">
        <v>250</v>
      </c>
      <c r="Q252" s="3" t="e">
        <f t="shared" si="68"/>
        <v>#N/A</v>
      </c>
      <c r="R252" s="3" t="e">
        <f t="shared" si="69"/>
        <v>#N/A</v>
      </c>
      <c r="T252" s="46" t="str">
        <f t="shared" si="65"/>
        <v/>
      </c>
      <c r="U252" s="48" t="str">
        <f t="shared" si="66"/>
        <v/>
      </c>
      <c r="W252" s="56">
        <f t="shared" si="57"/>
        <v>0</v>
      </c>
      <c r="X252" s="57" t="str">
        <f t="shared" si="58"/>
        <v/>
      </c>
      <c r="Y252" s="58">
        <f t="shared" si="59"/>
        <v>0</v>
      </c>
      <c r="AA252" s="62" t="str">
        <f t="shared" si="70"/>
        <v/>
      </c>
    </row>
    <row r="253" spans="3:27">
      <c r="C253" s="82"/>
      <c r="E253" s="30" t="str">
        <f t="shared" si="67"/>
        <v>00:00:00</v>
      </c>
      <c r="F253" s="36" t="str">
        <f t="shared" si="60"/>
        <v/>
      </c>
      <c r="G253" s="36">
        <f t="shared" si="61"/>
        <v>0</v>
      </c>
      <c r="H253" s="3" t="str">
        <f t="shared" si="62"/>
        <v/>
      </c>
      <c r="I253" s="3">
        <f t="shared" si="63"/>
        <v>0</v>
      </c>
      <c r="L253" s="35">
        <f t="shared" si="71"/>
        <v>1</v>
      </c>
      <c r="O253" s="27">
        <f t="shared" si="64"/>
        <v>0</v>
      </c>
      <c r="P253" s="3">
        <v>251</v>
      </c>
      <c r="Q253" s="3" t="e">
        <f t="shared" si="68"/>
        <v>#N/A</v>
      </c>
      <c r="R253" s="3" t="e">
        <f t="shared" si="69"/>
        <v>#N/A</v>
      </c>
      <c r="T253" s="46" t="str">
        <f t="shared" si="65"/>
        <v/>
      </c>
      <c r="U253" s="48" t="str">
        <f t="shared" si="66"/>
        <v/>
      </c>
      <c r="W253" s="56">
        <f t="shared" si="57"/>
        <v>0</v>
      </c>
      <c r="X253" s="57" t="str">
        <f t="shared" si="58"/>
        <v/>
      </c>
      <c r="Y253" s="58">
        <f t="shared" si="59"/>
        <v>0</v>
      </c>
      <c r="AA253" s="62" t="str">
        <f t="shared" si="70"/>
        <v/>
      </c>
    </row>
    <row r="254" spans="3:27">
      <c r="C254" s="82"/>
      <c r="E254" s="30" t="str">
        <f t="shared" si="67"/>
        <v>00:00:00</v>
      </c>
      <c r="F254" s="36" t="str">
        <f t="shared" si="60"/>
        <v/>
      </c>
      <c r="G254" s="36">
        <f t="shared" si="61"/>
        <v>0</v>
      </c>
      <c r="H254" s="3" t="str">
        <f t="shared" si="62"/>
        <v/>
      </c>
      <c r="I254" s="3">
        <f t="shared" si="63"/>
        <v>0</v>
      </c>
      <c r="L254" s="35">
        <f t="shared" si="71"/>
        <v>1</v>
      </c>
      <c r="O254" s="27">
        <f t="shared" si="64"/>
        <v>0</v>
      </c>
      <c r="P254" s="3">
        <v>252</v>
      </c>
      <c r="Q254" s="3" t="e">
        <f t="shared" si="68"/>
        <v>#N/A</v>
      </c>
      <c r="R254" s="3" t="e">
        <f t="shared" si="69"/>
        <v>#N/A</v>
      </c>
      <c r="T254" s="46" t="str">
        <f t="shared" si="65"/>
        <v/>
      </c>
      <c r="U254" s="48" t="str">
        <f t="shared" si="66"/>
        <v/>
      </c>
      <c r="W254" s="56">
        <f t="shared" si="57"/>
        <v>0</v>
      </c>
      <c r="X254" s="57" t="str">
        <f t="shared" si="58"/>
        <v/>
      </c>
      <c r="Y254" s="58">
        <f t="shared" si="59"/>
        <v>0</v>
      </c>
      <c r="AA254" s="62" t="str">
        <f t="shared" si="70"/>
        <v/>
      </c>
    </row>
    <row r="255" spans="3:27">
      <c r="C255" s="82"/>
      <c r="E255" s="30" t="str">
        <f t="shared" si="67"/>
        <v>00:00:00</v>
      </c>
      <c r="F255" s="36" t="str">
        <f t="shared" si="60"/>
        <v/>
      </c>
      <c r="G255" s="36">
        <f t="shared" si="61"/>
        <v>0</v>
      </c>
      <c r="H255" s="3" t="str">
        <f t="shared" si="62"/>
        <v/>
      </c>
      <c r="I255" s="3">
        <f t="shared" si="63"/>
        <v>0</v>
      </c>
      <c r="L255" s="35">
        <f t="shared" si="71"/>
        <v>1</v>
      </c>
      <c r="O255" s="27">
        <f t="shared" si="64"/>
        <v>0</v>
      </c>
      <c r="P255" s="3">
        <v>253</v>
      </c>
      <c r="Q255" s="3" t="e">
        <f t="shared" si="68"/>
        <v>#N/A</v>
      </c>
      <c r="R255" s="3" t="e">
        <f t="shared" si="69"/>
        <v>#N/A</v>
      </c>
      <c r="T255" s="46" t="str">
        <f t="shared" si="65"/>
        <v/>
      </c>
      <c r="U255" s="48" t="str">
        <f t="shared" si="66"/>
        <v/>
      </c>
      <c r="W255" s="56">
        <f t="shared" si="57"/>
        <v>0</v>
      </c>
      <c r="X255" s="57" t="str">
        <f t="shared" si="58"/>
        <v/>
      </c>
      <c r="Y255" s="58">
        <f t="shared" si="59"/>
        <v>0</v>
      </c>
      <c r="AA255" s="62" t="str">
        <f t="shared" si="70"/>
        <v/>
      </c>
    </row>
    <row r="256" spans="3:27">
      <c r="C256" s="82"/>
      <c r="E256" s="30" t="str">
        <f t="shared" si="67"/>
        <v>00:00:00</v>
      </c>
      <c r="F256" s="36" t="str">
        <f t="shared" si="60"/>
        <v/>
      </c>
      <c r="G256" s="36">
        <f t="shared" si="61"/>
        <v>0</v>
      </c>
      <c r="H256" s="3" t="str">
        <f t="shared" si="62"/>
        <v/>
      </c>
      <c r="I256" s="3">
        <f t="shared" si="63"/>
        <v>0</v>
      </c>
      <c r="L256" s="35">
        <f t="shared" si="71"/>
        <v>1</v>
      </c>
      <c r="O256" s="27">
        <f t="shared" si="64"/>
        <v>0</v>
      </c>
      <c r="P256" s="3">
        <v>254</v>
      </c>
      <c r="Q256" s="3" t="e">
        <f t="shared" si="68"/>
        <v>#N/A</v>
      </c>
      <c r="R256" s="3" t="e">
        <f t="shared" si="69"/>
        <v>#N/A</v>
      </c>
      <c r="T256" s="46" t="str">
        <f t="shared" si="65"/>
        <v/>
      </c>
      <c r="U256" s="48" t="str">
        <f t="shared" si="66"/>
        <v/>
      </c>
      <c r="W256" s="56">
        <f t="shared" si="57"/>
        <v>0</v>
      </c>
      <c r="X256" s="57" t="str">
        <f t="shared" si="58"/>
        <v/>
      </c>
      <c r="Y256" s="58">
        <f t="shared" si="59"/>
        <v>0</v>
      </c>
      <c r="AA256" s="62" t="str">
        <f t="shared" si="70"/>
        <v/>
      </c>
    </row>
    <row r="257" spans="3:27">
      <c r="C257" s="82"/>
      <c r="E257" s="30" t="str">
        <f t="shared" si="67"/>
        <v>00:00:00</v>
      </c>
      <c r="F257" s="36" t="str">
        <f t="shared" si="60"/>
        <v/>
      </c>
      <c r="G257" s="36">
        <f t="shared" si="61"/>
        <v>0</v>
      </c>
      <c r="H257" s="3" t="str">
        <f t="shared" si="62"/>
        <v/>
      </c>
      <c r="I257" s="3">
        <f t="shared" si="63"/>
        <v>0</v>
      </c>
      <c r="L257" s="35">
        <f t="shared" si="71"/>
        <v>1</v>
      </c>
      <c r="O257" s="27">
        <f t="shared" si="64"/>
        <v>0</v>
      </c>
      <c r="P257" s="3">
        <v>255</v>
      </c>
      <c r="Q257" s="3" t="e">
        <f t="shared" si="68"/>
        <v>#N/A</v>
      </c>
      <c r="R257" s="3" t="e">
        <f t="shared" si="69"/>
        <v>#N/A</v>
      </c>
      <c r="T257" s="46" t="str">
        <f t="shared" si="65"/>
        <v/>
      </c>
      <c r="U257" s="48" t="str">
        <f t="shared" si="66"/>
        <v/>
      </c>
      <c r="W257" s="56">
        <f t="shared" si="57"/>
        <v>0</v>
      </c>
      <c r="X257" s="57" t="str">
        <f t="shared" si="58"/>
        <v/>
      </c>
      <c r="Y257" s="58">
        <f t="shared" si="59"/>
        <v>0</v>
      </c>
      <c r="AA257" s="62" t="str">
        <f t="shared" si="70"/>
        <v/>
      </c>
    </row>
    <row r="258" spans="3:27">
      <c r="C258" s="82"/>
      <c r="E258" s="30" t="str">
        <f t="shared" si="67"/>
        <v>00:00:00</v>
      </c>
      <c r="F258" s="36" t="str">
        <f t="shared" si="60"/>
        <v/>
      </c>
      <c r="G258" s="36">
        <f t="shared" si="61"/>
        <v>0</v>
      </c>
      <c r="H258" s="3" t="str">
        <f t="shared" si="62"/>
        <v/>
      </c>
      <c r="I258" s="3">
        <f t="shared" si="63"/>
        <v>0</v>
      </c>
      <c r="L258" s="35">
        <f t="shared" si="71"/>
        <v>1</v>
      </c>
      <c r="O258" s="27">
        <f t="shared" si="64"/>
        <v>0</v>
      </c>
      <c r="P258" s="3">
        <v>256</v>
      </c>
      <c r="Q258" s="3" t="e">
        <f t="shared" si="68"/>
        <v>#N/A</v>
      </c>
      <c r="R258" s="3" t="e">
        <f t="shared" si="69"/>
        <v>#N/A</v>
      </c>
      <c r="T258" s="46" t="str">
        <f t="shared" si="65"/>
        <v/>
      </c>
      <c r="U258" s="48" t="str">
        <f t="shared" si="66"/>
        <v/>
      </c>
      <c r="W258" s="56">
        <f t="shared" ref="W258:W321" si="72">IF(H258&lt;&gt;H259,1,0)</f>
        <v>0</v>
      </c>
      <c r="X258" s="57" t="str">
        <f t="shared" ref="X258:X321" si="73">IF(W258=1,H258,"")</f>
        <v/>
      </c>
      <c r="Y258" s="58">
        <f t="shared" ref="Y258:Y321" si="74">D258</f>
        <v>0</v>
      </c>
      <c r="AA258" s="62" t="str">
        <f t="shared" si="70"/>
        <v/>
      </c>
    </row>
    <row r="259" spans="3:27">
      <c r="C259" s="82"/>
      <c r="E259" s="30" t="str">
        <f t="shared" si="67"/>
        <v>00:00:00</v>
      </c>
      <c r="F259" s="36" t="str">
        <f t="shared" ref="F259:F322" si="75">IF(G259=0,"",IF(G259&lt;8,1,IF(G259&lt;15,2,IF(G259&lt;22,3,4))))</f>
        <v/>
      </c>
      <c r="G259" s="36">
        <f t="shared" ref="G259:G322" si="76">DAY(B259)</f>
        <v>0</v>
      </c>
      <c r="H259" s="3" t="str">
        <f t="shared" ref="H259:H322" si="77">IF(ISNUMBER(B259),VLOOKUP(MONTH(B259),$J$2:$K$13,2,FALSE),"")</f>
        <v/>
      </c>
      <c r="I259" s="3">
        <f t="shared" ref="I259:I322" si="78">IF(A259&lt;&gt;A260,1,0)</f>
        <v>0</v>
      </c>
      <c r="L259" s="35">
        <f t="shared" si="71"/>
        <v>1</v>
      </c>
      <c r="O259" s="27">
        <f t="shared" ref="O259:O322" si="79">D259</f>
        <v>0</v>
      </c>
      <c r="P259" s="3">
        <v>257</v>
      </c>
      <c r="Q259" s="3" t="e">
        <f t="shared" si="68"/>
        <v>#N/A</v>
      </c>
      <c r="R259" s="3" t="e">
        <f t="shared" si="69"/>
        <v>#N/A</v>
      </c>
      <c r="T259" s="46" t="str">
        <f t="shared" ref="T259:T322" si="80">IFERROR(R259,"")</f>
        <v/>
      </c>
      <c r="U259" s="48" t="str">
        <f t="shared" ref="U259:U322" si="81">IFERROR(Q259,"")</f>
        <v/>
      </c>
      <c r="W259" s="56">
        <f t="shared" si="72"/>
        <v>0</v>
      </c>
      <c r="X259" s="57" t="str">
        <f t="shared" si="73"/>
        <v/>
      </c>
      <c r="Y259" s="58">
        <f t="shared" si="74"/>
        <v>0</v>
      </c>
      <c r="AA259" s="62" t="str">
        <f t="shared" si="70"/>
        <v/>
      </c>
    </row>
    <row r="260" spans="3:27">
      <c r="C260" s="82"/>
      <c r="E260" s="30" t="str">
        <f t="shared" ref="E260:E323" si="82">IF(A260&lt;&gt;A259,TEXT(C260,"hh:mm:ss"),TEXT(C260+E259,"hh:mm:ss"))</f>
        <v>00:00:00</v>
      </c>
      <c r="F260" s="36" t="str">
        <f t="shared" si="75"/>
        <v/>
      </c>
      <c r="G260" s="36">
        <f t="shared" si="76"/>
        <v>0</v>
      </c>
      <c r="H260" s="3" t="str">
        <f t="shared" si="77"/>
        <v/>
      </c>
      <c r="I260" s="3">
        <f t="shared" si="78"/>
        <v>0</v>
      </c>
      <c r="L260" s="35">
        <f t="shared" si="71"/>
        <v>1</v>
      </c>
      <c r="O260" s="27">
        <f t="shared" si="79"/>
        <v>0</v>
      </c>
      <c r="P260" s="3">
        <v>258</v>
      </c>
      <c r="Q260" s="3" t="e">
        <f t="shared" ref="Q260:Q323" si="83">VLOOKUP(P260,M:O,3,FALSE)</f>
        <v>#N/A</v>
      </c>
      <c r="R260" s="3" t="e">
        <f t="shared" ref="R260:R323" si="84">VLOOKUP(P260,M:N,2,FALSE)</f>
        <v>#N/A</v>
      </c>
      <c r="T260" s="46" t="str">
        <f t="shared" si="80"/>
        <v/>
      </c>
      <c r="U260" s="48" t="str">
        <f t="shared" si="81"/>
        <v/>
      </c>
      <c r="W260" s="56">
        <f t="shared" si="72"/>
        <v>0</v>
      </c>
      <c r="X260" s="57" t="str">
        <f t="shared" si="73"/>
        <v/>
      </c>
      <c r="Y260" s="58">
        <f t="shared" si="74"/>
        <v>0</v>
      </c>
      <c r="AA260" s="62" t="str">
        <f t="shared" ref="AA260:AA323" si="85">IFERROR(VLOOKUP(Z260,X:Y,2,FALSE),"")</f>
        <v/>
      </c>
    </row>
    <row r="261" spans="3:27">
      <c r="C261" s="82"/>
      <c r="E261" s="30" t="str">
        <f t="shared" si="82"/>
        <v>00:00:00</v>
      </c>
      <c r="F261" s="36" t="str">
        <f t="shared" si="75"/>
        <v/>
      </c>
      <c r="G261" s="36">
        <f t="shared" si="76"/>
        <v>0</v>
      </c>
      <c r="H261" s="3" t="str">
        <f t="shared" si="77"/>
        <v/>
      </c>
      <c r="I261" s="3">
        <f t="shared" si="78"/>
        <v>0</v>
      </c>
      <c r="L261" s="35">
        <f t="shared" si="71"/>
        <v>1</v>
      </c>
      <c r="O261" s="27">
        <f t="shared" si="79"/>
        <v>0</v>
      </c>
      <c r="P261" s="3">
        <v>259</v>
      </c>
      <c r="Q261" s="3" t="e">
        <f t="shared" si="83"/>
        <v>#N/A</v>
      </c>
      <c r="R261" s="3" t="e">
        <f t="shared" si="84"/>
        <v>#N/A</v>
      </c>
      <c r="T261" s="46" t="str">
        <f t="shared" si="80"/>
        <v/>
      </c>
      <c r="U261" s="48" t="str">
        <f t="shared" si="81"/>
        <v/>
      </c>
      <c r="W261" s="56">
        <f t="shared" si="72"/>
        <v>0</v>
      </c>
      <c r="X261" s="57" t="str">
        <f t="shared" si="73"/>
        <v/>
      </c>
      <c r="Y261" s="58">
        <f t="shared" si="74"/>
        <v>0</v>
      </c>
      <c r="AA261" s="62" t="str">
        <f t="shared" si="85"/>
        <v/>
      </c>
    </row>
    <row r="262" spans="3:27">
      <c r="C262" s="82"/>
      <c r="E262" s="30" t="str">
        <f t="shared" si="82"/>
        <v>00:00:00</v>
      </c>
      <c r="F262" s="36" t="str">
        <f t="shared" si="75"/>
        <v/>
      </c>
      <c r="G262" s="36">
        <f t="shared" si="76"/>
        <v>0</v>
      </c>
      <c r="H262" s="3" t="str">
        <f t="shared" si="77"/>
        <v/>
      </c>
      <c r="I262" s="3">
        <f t="shared" si="78"/>
        <v>0</v>
      </c>
      <c r="L262" s="35">
        <f t="shared" si="71"/>
        <v>1</v>
      </c>
      <c r="O262" s="27">
        <f t="shared" si="79"/>
        <v>0</v>
      </c>
      <c r="P262" s="3">
        <v>260</v>
      </c>
      <c r="Q262" s="3" t="e">
        <f t="shared" si="83"/>
        <v>#N/A</v>
      </c>
      <c r="R262" s="3" t="e">
        <f t="shared" si="84"/>
        <v>#N/A</v>
      </c>
      <c r="T262" s="46" t="str">
        <f t="shared" si="80"/>
        <v/>
      </c>
      <c r="U262" s="48" t="str">
        <f t="shared" si="81"/>
        <v/>
      </c>
      <c r="W262" s="56">
        <f t="shared" si="72"/>
        <v>0</v>
      </c>
      <c r="X262" s="57" t="str">
        <f t="shared" si="73"/>
        <v/>
      </c>
      <c r="Y262" s="58">
        <f t="shared" si="74"/>
        <v>0</v>
      </c>
      <c r="AA262" s="62" t="str">
        <f t="shared" si="85"/>
        <v/>
      </c>
    </row>
    <row r="263" spans="3:27">
      <c r="C263" s="82"/>
      <c r="E263" s="30" t="str">
        <f t="shared" si="82"/>
        <v>00:00:00</v>
      </c>
      <c r="F263" s="36" t="str">
        <f t="shared" si="75"/>
        <v/>
      </c>
      <c r="G263" s="36">
        <f t="shared" si="76"/>
        <v>0</v>
      </c>
      <c r="H263" s="3" t="str">
        <f t="shared" si="77"/>
        <v/>
      </c>
      <c r="I263" s="3">
        <f t="shared" si="78"/>
        <v>0</v>
      </c>
      <c r="L263" s="35">
        <f t="shared" si="71"/>
        <v>1</v>
      </c>
      <c r="O263" s="27">
        <f t="shared" si="79"/>
        <v>0</v>
      </c>
      <c r="P263" s="3">
        <v>261</v>
      </c>
      <c r="Q263" s="3" t="e">
        <f t="shared" si="83"/>
        <v>#N/A</v>
      </c>
      <c r="R263" s="3" t="e">
        <f t="shared" si="84"/>
        <v>#N/A</v>
      </c>
      <c r="T263" s="46" t="str">
        <f t="shared" si="80"/>
        <v/>
      </c>
      <c r="U263" s="48" t="str">
        <f t="shared" si="81"/>
        <v/>
      </c>
      <c r="W263" s="56">
        <f t="shared" si="72"/>
        <v>0</v>
      </c>
      <c r="X263" s="57" t="str">
        <f t="shared" si="73"/>
        <v/>
      </c>
      <c r="Y263" s="58">
        <f t="shared" si="74"/>
        <v>0</v>
      </c>
      <c r="AA263" s="62" t="str">
        <f t="shared" si="85"/>
        <v/>
      </c>
    </row>
    <row r="264" spans="3:27">
      <c r="C264" s="82"/>
      <c r="E264" s="30" t="str">
        <f t="shared" si="82"/>
        <v>00:00:00</v>
      </c>
      <c r="F264" s="36" t="str">
        <f t="shared" si="75"/>
        <v/>
      </c>
      <c r="G264" s="36">
        <f t="shared" si="76"/>
        <v>0</v>
      </c>
      <c r="H264" s="3" t="str">
        <f t="shared" si="77"/>
        <v/>
      </c>
      <c r="I264" s="3">
        <f t="shared" si="78"/>
        <v>0</v>
      </c>
      <c r="L264" s="35">
        <f t="shared" si="71"/>
        <v>1</v>
      </c>
      <c r="O264" s="27">
        <f t="shared" si="79"/>
        <v>0</v>
      </c>
      <c r="P264" s="3">
        <v>262</v>
      </c>
      <c r="Q264" s="3" t="e">
        <f t="shared" si="83"/>
        <v>#N/A</v>
      </c>
      <c r="R264" s="3" t="e">
        <f t="shared" si="84"/>
        <v>#N/A</v>
      </c>
      <c r="T264" s="46" t="str">
        <f t="shared" si="80"/>
        <v/>
      </c>
      <c r="U264" s="48" t="str">
        <f t="shared" si="81"/>
        <v/>
      </c>
      <c r="W264" s="56">
        <f t="shared" si="72"/>
        <v>0</v>
      </c>
      <c r="X264" s="57" t="str">
        <f t="shared" si="73"/>
        <v/>
      </c>
      <c r="Y264" s="58">
        <f t="shared" si="74"/>
        <v>0</v>
      </c>
      <c r="AA264" s="62" t="str">
        <f t="shared" si="85"/>
        <v/>
      </c>
    </row>
    <row r="265" spans="3:27">
      <c r="C265" s="82"/>
      <c r="E265" s="30" t="str">
        <f t="shared" si="82"/>
        <v>00:00:00</v>
      </c>
      <c r="F265" s="36" t="str">
        <f t="shared" si="75"/>
        <v/>
      </c>
      <c r="G265" s="36">
        <f t="shared" si="76"/>
        <v>0</v>
      </c>
      <c r="H265" s="3" t="str">
        <f t="shared" si="77"/>
        <v/>
      </c>
      <c r="I265" s="3">
        <f t="shared" si="78"/>
        <v>0</v>
      </c>
      <c r="L265" s="35">
        <f t="shared" si="71"/>
        <v>1</v>
      </c>
      <c r="O265" s="27">
        <f t="shared" si="79"/>
        <v>0</v>
      </c>
      <c r="P265" s="3">
        <v>263</v>
      </c>
      <c r="Q265" s="3" t="e">
        <f t="shared" si="83"/>
        <v>#N/A</v>
      </c>
      <c r="R265" s="3" t="e">
        <f t="shared" si="84"/>
        <v>#N/A</v>
      </c>
      <c r="T265" s="46" t="str">
        <f t="shared" si="80"/>
        <v/>
      </c>
      <c r="U265" s="48" t="str">
        <f t="shared" si="81"/>
        <v/>
      </c>
      <c r="W265" s="56">
        <f t="shared" si="72"/>
        <v>0</v>
      </c>
      <c r="X265" s="57" t="str">
        <f t="shared" si="73"/>
        <v/>
      </c>
      <c r="Y265" s="58">
        <f t="shared" si="74"/>
        <v>0</v>
      </c>
      <c r="AA265" s="62" t="str">
        <f t="shared" si="85"/>
        <v/>
      </c>
    </row>
    <row r="266" spans="3:27">
      <c r="C266" s="82"/>
      <c r="E266" s="30" t="str">
        <f t="shared" si="82"/>
        <v>00:00:00</v>
      </c>
      <c r="F266" s="36" t="str">
        <f t="shared" si="75"/>
        <v/>
      </c>
      <c r="G266" s="36">
        <f t="shared" si="76"/>
        <v>0</v>
      </c>
      <c r="H266" s="3" t="str">
        <f t="shared" si="77"/>
        <v/>
      </c>
      <c r="I266" s="3">
        <f t="shared" si="78"/>
        <v>0</v>
      </c>
      <c r="L266" s="35">
        <f t="shared" si="71"/>
        <v>1</v>
      </c>
      <c r="O266" s="27">
        <f t="shared" si="79"/>
        <v>0</v>
      </c>
      <c r="P266" s="3">
        <v>264</v>
      </c>
      <c r="Q266" s="3" t="e">
        <f t="shared" si="83"/>
        <v>#N/A</v>
      </c>
      <c r="R266" s="3" t="e">
        <f t="shared" si="84"/>
        <v>#N/A</v>
      </c>
      <c r="T266" s="46" t="str">
        <f t="shared" si="80"/>
        <v/>
      </c>
      <c r="U266" s="48" t="str">
        <f t="shared" si="81"/>
        <v/>
      </c>
      <c r="W266" s="56">
        <f t="shared" si="72"/>
        <v>0</v>
      </c>
      <c r="X266" s="57" t="str">
        <f t="shared" si="73"/>
        <v/>
      </c>
      <c r="Y266" s="58">
        <f t="shared" si="74"/>
        <v>0</v>
      </c>
      <c r="AA266" s="62" t="str">
        <f t="shared" si="85"/>
        <v/>
      </c>
    </row>
    <row r="267" spans="3:27">
      <c r="C267" s="82"/>
      <c r="E267" s="30" t="str">
        <f t="shared" si="82"/>
        <v>00:00:00</v>
      </c>
      <c r="F267" s="36" t="str">
        <f t="shared" si="75"/>
        <v/>
      </c>
      <c r="G267" s="36">
        <f t="shared" si="76"/>
        <v>0</v>
      </c>
      <c r="H267" s="3" t="str">
        <f t="shared" si="77"/>
        <v/>
      </c>
      <c r="I267" s="3">
        <f t="shared" si="78"/>
        <v>0</v>
      </c>
      <c r="L267" s="35">
        <f t="shared" si="71"/>
        <v>1</v>
      </c>
      <c r="O267" s="27">
        <f t="shared" si="79"/>
        <v>0</v>
      </c>
      <c r="P267" s="3">
        <v>265</v>
      </c>
      <c r="Q267" s="3" t="e">
        <f t="shared" si="83"/>
        <v>#N/A</v>
      </c>
      <c r="R267" s="3" t="e">
        <f t="shared" si="84"/>
        <v>#N/A</v>
      </c>
      <c r="T267" s="46" t="str">
        <f t="shared" si="80"/>
        <v/>
      </c>
      <c r="U267" s="48" t="str">
        <f t="shared" si="81"/>
        <v/>
      </c>
      <c r="W267" s="56">
        <f t="shared" si="72"/>
        <v>0</v>
      </c>
      <c r="X267" s="57" t="str">
        <f t="shared" si="73"/>
        <v/>
      </c>
      <c r="Y267" s="58">
        <f t="shared" si="74"/>
        <v>0</v>
      </c>
      <c r="AA267" s="62" t="str">
        <f t="shared" si="85"/>
        <v/>
      </c>
    </row>
    <row r="268" spans="3:27">
      <c r="C268" s="82"/>
      <c r="E268" s="30" t="str">
        <f t="shared" si="82"/>
        <v>00:00:00</v>
      </c>
      <c r="F268" s="36" t="str">
        <f t="shared" si="75"/>
        <v/>
      </c>
      <c r="G268" s="36">
        <f t="shared" si="76"/>
        <v>0</v>
      </c>
      <c r="H268" s="3" t="str">
        <f t="shared" si="77"/>
        <v/>
      </c>
      <c r="I268" s="3">
        <f t="shared" si="78"/>
        <v>0</v>
      </c>
      <c r="L268" s="35">
        <f t="shared" ref="L268:L331" si="86">IF(I267=1,L267+I267,L267)</f>
        <v>1</v>
      </c>
      <c r="O268" s="27">
        <f t="shared" si="79"/>
        <v>0</v>
      </c>
      <c r="P268" s="3">
        <v>266</v>
      </c>
      <c r="Q268" s="3" t="e">
        <f t="shared" si="83"/>
        <v>#N/A</v>
      </c>
      <c r="R268" s="3" t="e">
        <f t="shared" si="84"/>
        <v>#N/A</v>
      </c>
      <c r="T268" s="46" t="str">
        <f t="shared" si="80"/>
        <v/>
      </c>
      <c r="U268" s="48" t="str">
        <f t="shared" si="81"/>
        <v/>
      </c>
      <c r="W268" s="56">
        <f t="shared" si="72"/>
        <v>0</v>
      </c>
      <c r="X268" s="57" t="str">
        <f t="shared" si="73"/>
        <v/>
      </c>
      <c r="Y268" s="58">
        <f t="shared" si="74"/>
        <v>0</v>
      </c>
      <c r="AA268" s="62" t="str">
        <f t="shared" si="85"/>
        <v/>
      </c>
    </row>
    <row r="269" spans="3:27">
      <c r="C269" s="82"/>
      <c r="E269" s="30" t="str">
        <f t="shared" si="82"/>
        <v>00:00:00</v>
      </c>
      <c r="F269" s="36" t="str">
        <f t="shared" si="75"/>
        <v/>
      </c>
      <c r="G269" s="36">
        <f t="shared" si="76"/>
        <v>0</v>
      </c>
      <c r="H269" s="3" t="str">
        <f t="shared" si="77"/>
        <v/>
      </c>
      <c r="I269" s="3">
        <f t="shared" si="78"/>
        <v>0</v>
      </c>
      <c r="L269" s="35">
        <f t="shared" si="86"/>
        <v>1</v>
      </c>
      <c r="O269" s="27">
        <f t="shared" si="79"/>
        <v>0</v>
      </c>
      <c r="P269" s="3">
        <v>267</v>
      </c>
      <c r="Q269" s="3" t="e">
        <f t="shared" si="83"/>
        <v>#N/A</v>
      </c>
      <c r="R269" s="3" t="e">
        <f t="shared" si="84"/>
        <v>#N/A</v>
      </c>
      <c r="T269" s="46" t="str">
        <f t="shared" si="80"/>
        <v/>
      </c>
      <c r="U269" s="48" t="str">
        <f t="shared" si="81"/>
        <v/>
      </c>
      <c r="W269" s="56">
        <f t="shared" si="72"/>
        <v>0</v>
      </c>
      <c r="X269" s="57" t="str">
        <f t="shared" si="73"/>
        <v/>
      </c>
      <c r="Y269" s="58">
        <f t="shared" si="74"/>
        <v>0</v>
      </c>
      <c r="AA269" s="62" t="str">
        <f t="shared" si="85"/>
        <v/>
      </c>
    </row>
    <row r="270" spans="3:27">
      <c r="C270" s="82"/>
      <c r="E270" s="30" t="str">
        <f t="shared" si="82"/>
        <v>00:00:00</v>
      </c>
      <c r="F270" s="36" t="str">
        <f t="shared" si="75"/>
        <v/>
      </c>
      <c r="G270" s="36">
        <f t="shared" si="76"/>
        <v>0</v>
      </c>
      <c r="H270" s="3" t="str">
        <f t="shared" si="77"/>
        <v/>
      </c>
      <c r="I270" s="3">
        <f t="shared" si="78"/>
        <v>0</v>
      </c>
      <c r="L270" s="35">
        <f t="shared" si="86"/>
        <v>1</v>
      </c>
      <c r="O270" s="27">
        <f t="shared" si="79"/>
        <v>0</v>
      </c>
      <c r="P270" s="3">
        <v>268</v>
      </c>
      <c r="Q270" s="3" t="e">
        <f t="shared" si="83"/>
        <v>#N/A</v>
      </c>
      <c r="R270" s="3" t="e">
        <f t="shared" si="84"/>
        <v>#N/A</v>
      </c>
      <c r="T270" s="46" t="str">
        <f t="shared" si="80"/>
        <v/>
      </c>
      <c r="U270" s="48" t="str">
        <f t="shared" si="81"/>
        <v/>
      </c>
      <c r="W270" s="56">
        <f t="shared" si="72"/>
        <v>0</v>
      </c>
      <c r="X270" s="57" t="str">
        <f t="shared" si="73"/>
        <v/>
      </c>
      <c r="Y270" s="58">
        <f t="shared" si="74"/>
        <v>0</v>
      </c>
      <c r="AA270" s="62" t="str">
        <f t="shared" si="85"/>
        <v/>
      </c>
    </row>
    <row r="271" spans="3:27">
      <c r="C271" s="82"/>
      <c r="E271" s="30" t="str">
        <f t="shared" si="82"/>
        <v>00:00:00</v>
      </c>
      <c r="F271" s="36" t="str">
        <f t="shared" si="75"/>
        <v/>
      </c>
      <c r="G271" s="36">
        <f t="shared" si="76"/>
        <v>0</v>
      </c>
      <c r="H271" s="3" t="str">
        <f t="shared" si="77"/>
        <v/>
      </c>
      <c r="I271" s="3">
        <f t="shared" si="78"/>
        <v>0</v>
      </c>
      <c r="L271" s="35">
        <f t="shared" si="86"/>
        <v>1</v>
      </c>
      <c r="O271" s="27">
        <f t="shared" si="79"/>
        <v>0</v>
      </c>
      <c r="P271" s="3">
        <v>269</v>
      </c>
      <c r="Q271" s="3" t="e">
        <f t="shared" si="83"/>
        <v>#N/A</v>
      </c>
      <c r="R271" s="3" t="e">
        <f t="shared" si="84"/>
        <v>#N/A</v>
      </c>
      <c r="T271" s="46" t="str">
        <f t="shared" si="80"/>
        <v/>
      </c>
      <c r="U271" s="48" t="str">
        <f t="shared" si="81"/>
        <v/>
      </c>
      <c r="W271" s="56">
        <f t="shared" si="72"/>
        <v>0</v>
      </c>
      <c r="X271" s="57" t="str">
        <f t="shared" si="73"/>
        <v/>
      </c>
      <c r="Y271" s="58">
        <f t="shared" si="74"/>
        <v>0</v>
      </c>
      <c r="AA271" s="62" t="str">
        <f t="shared" si="85"/>
        <v/>
      </c>
    </row>
    <row r="272" spans="3:27">
      <c r="C272" s="82"/>
      <c r="E272" s="30" t="str">
        <f t="shared" si="82"/>
        <v>00:00:00</v>
      </c>
      <c r="F272" s="36" t="str">
        <f t="shared" si="75"/>
        <v/>
      </c>
      <c r="G272" s="36">
        <f t="shared" si="76"/>
        <v>0</v>
      </c>
      <c r="H272" s="3" t="str">
        <f t="shared" si="77"/>
        <v/>
      </c>
      <c r="I272" s="3">
        <f t="shared" si="78"/>
        <v>0</v>
      </c>
      <c r="L272" s="35">
        <f t="shared" si="86"/>
        <v>1</v>
      </c>
      <c r="O272" s="27">
        <f t="shared" si="79"/>
        <v>0</v>
      </c>
      <c r="P272" s="3">
        <v>270</v>
      </c>
      <c r="Q272" s="3" t="e">
        <f t="shared" si="83"/>
        <v>#N/A</v>
      </c>
      <c r="R272" s="3" t="e">
        <f t="shared" si="84"/>
        <v>#N/A</v>
      </c>
      <c r="T272" s="46" t="str">
        <f t="shared" si="80"/>
        <v/>
      </c>
      <c r="U272" s="48" t="str">
        <f t="shared" si="81"/>
        <v/>
      </c>
      <c r="W272" s="56">
        <f t="shared" si="72"/>
        <v>0</v>
      </c>
      <c r="X272" s="57" t="str">
        <f t="shared" si="73"/>
        <v/>
      </c>
      <c r="Y272" s="58">
        <f t="shared" si="74"/>
        <v>0</v>
      </c>
      <c r="AA272" s="62" t="str">
        <f t="shared" si="85"/>
        <v/>
      </c>
    </row>
    <row r="273" spans="3:27">
      <c r="C273" s="82"/>
      <c r="E273" s="30" t="str">
        <f t="shared" si="82"/>
        <v>00:00:00</v>
      </c>
      <c r="F273" s="36" t="str">
        <f t="shared" si="75"/>
        <v/>
      </c>
      <c r="G273" s="36">
        <f t="shared" si="76"/>
        <v>0</v>
      </c>
      <c r="H273" s="3" t="str">
        <f t="shared" si="77"/>
        <v/>
      </c>
      <c r="I273" s="3">
        <f t="shared" si="78"/>
        <v>0</v>
      </c>
      <c r="L273" s="35">
        <f t="shared" si="86"/>
        <v>1</v>
      </c>
      <c r="O273" s="27">
        <f t="shared" si="79"/>
        <v>0</v>
      </c>
      <c r="P273" s="3">
        <v>271</v>
      </c>
      <c r="Q273" s="3" t="e">
        <f t="shared" si="83"/>
        <v>#N/A</v>
      </c>
      <c r="R273" s="3" t="e">
        <f t="shared" si="84"/>
        <v>#N/A</v>
      </c>
      <c r="T273" s="46" t="str">
        <f t="shared" si="80"/>
        <v/>
      </c>
      <c r="U273" s="48" t="str">
        <f t="shared" si="81"/>
        <v/>
      </c>
      <c r="W273" s="56">
        <f t="shared" si="72"/>
        <v>0</v>
      </c>
      <c r="X273" s="57" t="str">
        <f t="shared" si="73"/>
        <v/>
      </c>
      <c r="Y273" s="58">
        <f t="shared" si="74"/>
        <v>0</v>
      </c>
      <c r="AA273" s="62" t="str">
        <f t="shared" si="85"/>
        <v/>
      </c>
    </row>
    <row r="274" spans="3:27">
      <c r="C274" s="82"/>
      <c r="E274" s="30" t="str">
        <f t="shared" si="82"/>
        <v>00:00:00</v>
      </c>
      <c r="F274" s="36" t="str">
        <f t="shared" si="75"/>
        <v/>
      </c>
      <c r="G274" s="36">
        <f t="shared" si="76"/>
        <v>0</v>
      </c>
      <c r="H274" s="3" t="str">
        <f t="shared" si="77"/>
        <v/>
      </c>
      <c r="I274" s="3">
        <f t="shared" si="78"/>
        <v>0</v>
      </c>
      <c r="L274" s="35">
        <f t="shared" si="86"/>
        <v>1</v>
      </c>
      <c r="O274" s="27">
        <f t="shared" si="79"/>
        <v>0</v>
      </c>
      <c r="P274" s="3">
        <v>272</v>
      </c>
      <c r="Q274" s="3" t="e">
        <f t="shared" si="83"/>
        <v>#N/A</v>
      </c>
      <c r="R274" s="3" t="e">
        <f t="shared" si="84"/>
        <v>#N/A</v>
      </c>
      <c r="T274" s="46" t="str">
        <f t="shared" si="80"/>
        <v/>
      </c>
      <c r="U274" s="48" t="str">
        <f t="shared" si="81"/>
        <v/>
      </c>
      <c r="W274" s="56">
        <f t="shared" si="72"/>
        <v>0</v>
      </c>
      <c r="X274" s="57" t="str">
        <f t="shared" si="73"/>
        <v/>
      </c>
      <c r="Y274" s="58">
        <f t="shared" si="74"/>
        <v>0</v>
      </c>
      <c r="AA274" s="62" t="str">
        <f t="shared" si="85"/>
        <v/>
      </c>
    </row>
    <row r="275" spans="3:27">
      <c r="C275" s="82"/>
      <c r="E275" s="30" t="str">
        <f t="shared" si="82"/>
        <v>00:00:00</v>
      </c>
      <c r="F275" s="36" t="str">
        <f t="shared" si="75"/>
        <v/>
      </c>
      <c r="G275" s="36">
        <f t="shared" si="76"/>
        <v>0</v>
      </c>
      <c r="H275" s="3" t="str">
        <f t="shared" si="77"/>
        <v/>
      </c>
      <c r="I275" s="3">
        <f t="shared" si="78"/>
        <v>0</v>
      </c>
      <c r="L275" s="35">
        <f t="shared" si="86"/>
        <v>1</v>
      </c>
      <c r="O275" s="27">
        <f t="shared" si="79"/>
        <v>0</v>
      </c>
      <c r="P275" s="3">
        <v>273</v>
      </c>
      <c r="Q275" s="3" t="e">
        <f t="shared" si="83"/>
        <v>#N/A</v>
      </c>
      <c r="R275" s="3" t="e">
        <f t="shared" si="84"/>
        <v>#N/A</v>
      </c>
      <c r="T275" s="46" t="str">
        <f t="shared" si="80"/>
        <v/>
      </c>
      <c r="U275" s="48" t="str">
        <f t="shared" si="81"/>
        <v/>
      </c>
      <c r="W275" s="56">
        <f t="shared" si="72"/>
        <v>0</v>
      </c>
      <c r="X275" s="57" t="str">
        <f t="shared" si="73"/>
        <v/>
      </c>
      <c r="Y275" s="58">
        <f t="shared" si="74"/>
        <v>0</v>
      </c>
      <c r="AA275" s="62" t="str">
        <f t="shared" si="85"/>
        <v/>
      </c>
    </row>
    <row r="276" spans="3:27">
      <c r="C276" s="82"/>
      <c r="E276" s="30" t="str">
        <f t="shared" si="82"/>
        <v>00:00:00</v>
      </c>
      <c r="F276" s="36" t="str">
        <f t="shared" si="75"/>
        <v/>
      </c>
      <c r="G276" s="36">
        <f t="shared" si="76"/>
        <v>0</v>
      </c>
      <c r="H276" s="3" t="str">
        <f t="shared" si="77"/>
        <v/>
      </c>
      <c r="I276" s="3">
        <f t="shared" si="78"/>
        <v>0</v>
      </c>
      <c r="L276" s="35">
        <f t="shared" si="86"/>
        <v>1</v>
      </c>
      <c r="O276" s="27">
        <f t="shared" si="79"/>
        <v>0</v>
      </c>
      <c r="P276" s="3">
        <v>274</v>
      </c>
      <c r="Q276" s="3" t="e">
        <f t="shared" si="83"/>
        <v>#N/A</v>
      </c>
      <c r="R276" s="3" t="e">
        <f t="shared" si="84"/>
        <v>#N/A</v>
      </c>
      <c r="T276" s="46" t="str">
        <f t="shared" si="80"/>
        <v/>
      </c>
      <c r="U276" s="48" t="str">
        <f t="shared" si="81"/>
        <v/>
      </c>
      <c r="W276" s="56">
        <f t="shared" si="72"/>
        <v>0</v>
      </c>
      <c r="X276" s="57" t="str">
        <f t="shared" si="73"/>
        <v/>
      </c>
      <c r="Y276" s="58">
        <f t="shared" si="74"/>
        <v>0</v>
      </c>
      <c r="AA276" s="62" t="str">
        <f t="shared" si="85"/>
        <v/>
      </c>
    </row>
    <row r="277" spans="3:27">
      <c r="C277" s="82"/>
      <c r="E277" s="30" t="str">
        <f t="shared" si="82"/>
        <v>00:00:00</v>
      </c>
      <c r="F277" s="36" t="str">
        <f t="shared" si="75"/>
        <v/>
      </c>
      <c r="G277" s="36">
        <f t="shared" si="76"/>
        <v>0</v>
      </c>
      <c r="H277" s="3" t="str">
        <f t="shared" si="77"/>
        <v/>
      </c>
      <c r="I277" s="3">
        <f t="shared" si="78"/>
        <v>0</v>
      </c>
      <c r="L277" s="35">
        <f t="shared" si="86"/>
        <v>1</v>
      </c>
      <c r="O277" s="27">
        <f t="shared" si="79"/>
        <v>0</v>
      </c>
      <c r="P277" s="3">
        <v>275</v>
      </c>
      <c r="Q277" s="3" t="e">
        <f t="shared" si="83"/>
        <v>#N/A</v>
      </c>
      <c r="R277" s="3" t="e">
        <f t="shared" si="84"/>
        <v>#N/A</v>
      </c>
      <c r="T277" s="46" t="str">
        <f t="shared" si="80"/>
        <v/>
      </c>
      <c r="U277" s="48" t="str">
        <f t="shared" si="81"/>
        <v/>
      </c>
      <c r="W277" s="56">
        <f t="shared" si="72"/>
        <v>0</v>
      </c>
      <c r="X277" s="57" t="str">
        <f t="shared" si="73"/>
        <v/>
      </c>
      <c r="Y277" s="58">
        <f t="shared" si="74"/>
        <v>0</v>
      </c>
      <c r="AA277" s="62" t="str">
        <f t="shared" si="85"/>
        <v/>
      </c>
    </row>
    <row r="278" spans="3:27">
      <c r="C278" s="82"/>
      <c r="E278" s="30" t="str">
        <f t="shared" si="82"/>
        <v>00:00:00</v>
      </c>
      <c r="F278" s="36" t="str">
        <f t="shared" si="75"/>
        <v/>
      </c>
      <c r="G278" s="36">
        <f t="shared" si="76"/>
        <v>0</v>
      </c>
      <c r="H278" s="3" t="str">
        <f t="shared" si="77"/>
        <v/>
      </c>
      <c r="I278" s="3">
        <f t="shared" si="78"/>
        <v>0</v>
      </c>
      <c r="L278" s="35">
        <f t="shared" si="86"/>
        <v>1</v>
      </c>
      <c r="O278" s="27">
        <f t="shared" si="79"/>
        <v>0</v>
      </c>
      <c r="P278" s="3">
        <v>276</v>
      </c>
      <c r="Q278" s="3" t="e">
        <f t="shared" si="83"/>
        <v>#N/A</v>
      </c>
      <c r="R278" s="3" t="e">
        <f t="shared" si="84"/>
        <v>#N/A</v>
      </c>
      <c r="T278" s="46" t="str">
        <f t="shared" si="80"/>
        <v/>
      </c>
      <c r="U278" s="48" t="str">
        <f t="shared" si="81"/>
        <v/>
      </c>
      <c r="W278" s="56">
        <f t="shared" si="72"/>
        <v>0</v>
      </c>
      <c r="X278" s="57" t="str">
        <f t="shared" si="73"/>
        <v/>
      </c>
      <c r="Y278" s="58">
        <f t="shared" si="74"/>
        <v>0</v>
      </c>
      <c r="AA278" s="62" t="str">
        <f t="shared" si="85"/>
        <v/>
      </c>
    </row>
    <row r="279" spans="3:27">
      <c r="C279" s="82"/>
      <c r="E279" s="30" t="str">
        <f t="shared" si="82"/>
        <v>00:00:00</v>
      </c>
      <c r="F279" s="36" t="str">
        <f t="shared" si="75"/>
        <v/>
      </c>
      <c r="G279" s="36">
        <f t="shared" si="76"/>
        <v>0</v>
      </c>
      <c r="H279" s="3" t="str">
        <f t="shared" si="77"/>
        <v/>
      </c>
      <c r="I279" s="3">
        <f t="shared" si="78"/>
        <v>0</v>
      </c>
      <c r="L279" s="35">
        <f t="shared" si="86"/>
        <v>1</v>
      </c>
      <c r="O279" s="27">
        <f t="shared" si="79"/>
        <v>0</v>
      </c>
      <c r="P279" s="3">
        <v>277</v>
      </c>
      <c r="Q279" s="3" t="e">
        <f t="shared" si="83"/>
        <v>#N/A</v>
      </c>
      <c r="R279" s="3" t="e">
        <f t="shared" si="84"/>
        <v>#N/A</v>
      </c>
      <c r="T279" s="46" t="str">
        <f t="shared" si="80"/>
        <v/>
      </c>
      <c r="U279" s="48" t="str">
        <f t="shared" si="81"/>
        <v/>
      </c>
      <c r="W279" s="56">
        <f t="shared" si="72"/>
        <v>0</v>
      </c>
      <c r="X279" s="57" t="str">
        <f t="shared" si="73"/>
        <v/>
      </c>
      <c r="Y279" s="58">
        <f t="shared" si="74"/>
        <v>0</v>
      </c>
      <c r="AA279" s="62" t="str">
        <f t="shared" si="85"/>
        <v/>
      </c>
    </row>
    <row r="280" spans="3:27">
      <c r="C280" s="82"/>
      <c r="E280" s="30" t="str">
        <f t="shared" si="82"/>
        <v>00:00:00</v>
      </c>
      <c r="F280" s="36" t="str">
        <f t="shared" si="75"/>
        <v/>
      </c>
      <c r="G280" s="36">
        <f t="shared" si="76"/>
        <v>0</v>
      </c>
      <c r="H280" s="3" t="str">
        <f t="shared" si="77"/>
        <v/>
      </c>
      <c r="I280" s="3">
        <f t="shared" si="78"/>
        <v>0</v>
      </c>
      <c r="L280" s="35">
        <f t="shared" si="86"/>
        <v>1</v>
      </c>
      <c r="O280" s="27">
        <f t="shared" si="79"/>
        <v>0</v>
      </c>
      <c r="P280" s="3">
        <v>278</v>
      </c>
      <c r="Q280" s="3" t="e">
        <f t="shared" si="83"/>
        <v>#N/A</v>
      </c>
      <c r="R280" s="3" t="e">
        <f t="shared" si="84"/>
        <v>#N/A</v>
      </c>
      <c r="T280" s="46" t="str">
        <f t="shared" si="80"/>
        <v/>
      </c>
      <c r="U280" s="48" t="str">
        <f t="shared" si="81"/>
        <v/>
      </c>
      <c r="W280" s="56">
        <f t="shared" si="72"/>
        <v>0</v>
      </c>
      <c r="X280" s="57" t="str">
        <f t="shared" si="73"/>
        <v/>
      </c>
      <c r="Y280" s="58">
        <f t="shared" si="74"/>
        <v>0</v>
      </c>
      <c r="AA280" s="62" t="str">
        <f t="shared" si="85"/>
        <v/>
      </c>
    </row>
    <row r="281" spans="3:27">
      <c r="C281" s="82"/>
      <c r="E281" s="30" t="str">
        <f t="shared" si="82"/>
        <v>00:00:00</v>
      </c>
      <c r="F281" s="36" t="str">
        <f t="shared" si="75"/>
        <v/>
      </c>
      <c r="G281" s="36">
        <f t="shared" si="76"/>
        <v>0</v>
      </c>
      <c r="H281" s="3" t="str">
        <f t="shared" si="77"/>
        <v/>
      </c>
      <c r="I281" s="3">
        <f t="shared" si="78"/>
        <v>0</v>
      </c>
      <c r="L281" s="35">
        <f t="shared" si="86"/>
        <v>1</v>
      </c>
      <c r="O281" s="27">
        <f t="shared" si="79"/>
        <v>0</v>
      </c>
      <c r="P281" s="3">
        <v>279</v>
      </c>
      <c r="Q281" s="3" t="e">
        <f t="shared" si="83"/>
        <v>#N/A</v>
      </c>
      <c r="R281" s="3" t="e">
        <f t="shared" si="84"/>
        <v>#N/A</v>
      </c>
      <c r="T281" s="46" t="str">
        <f t="shared" si="80"/>
        <v/>
      </c>
      <c r="U281" s="48" t="str">
        <f t="shared" si="81"/>
        <v/>
      </c>
      <c r="W281" s="56">
        <f t="shared" si="72"/>
        <v>0</v>
      </c>
      <c r="X281" s="57" t="str">
        <f t="shared" si="73"/>
        <v/>
      </c>
      <c r="Y281" s="58">
        <f t="shared" si="74"/>
        <v>0</v>
      </c>
      <c r="AA281" s="62" t="str">
        <f t="shared" si="85"/>
        <v/>
      </c>
    </row>
    <row r="282" spans="3:27">
      <c r="C282" s="82"/>
      <c r="E282" s="30" t="str">
        <f t="shared" si="82"/>
        <v>00:00:00</v>
      </c>
      <c r="F282" s="36" t="str">
        <f t="shared" si="75"/>
        <v/>
      </c>
      <c r="G282" s="36">
        <f t="shared" si="76"/>
        <v>0</v>
      </c>
      <c r="H282" s="3" t="str">
        <f t="shared" si="77"/>
        <v/>
      </c>
      <c r="I282" s="3">
        <f t="shared" si="78"/>
        <v>0</v>
      </c>
      <c r="L282" s="35">
        <f t="shared" si="86"/>
        <v>1</v>
      </c>
      <c r="O282" s="27">
        <f t="shared" si="79"/>
        <v>0</v>
      </c>
      <c r="P282" s="3">
        <v>280</v>
      </c>
      <c r="Q282" s="3" t="e">
        <f t="shared" si="83"/>
        <v>#N/A</v>
      </c>
      <c r="R282" s="3" t="e">
        <f t="shared" si="84"/>
        <v>#N/A</v>
      </c>
      <c r="T282" s="46" t="str">
        <f t="shared" si="80"/>
        <v/>
      </c>
      <c r="U282" s="48" t="str">
        <f t="shared" si="81"/>
        <v/>
      </c>
      <c r="W282" s="56">
        <f t="shared" si="72"/>
        <v>0</v>
      </c>
      <c r="X282" s="57" t="str">
        <f t="shared" si="73"/>
        <v/>
      </c>
      <c r="Y282" s="58">
        <f t="shared" si="74"/>
        <v>0</v>
      </c>
      <c r="AA282" s="62" t="str">
        <f t="shared" si="85"/>
        <v/>
      </c>
    </row>
    <row r="283" spans="3:27">
      <c r="C283" s="82"/>
      <c r="E283" s="30" t="str">
        <f t="shared" si="82"/>
        <v>00:00:00</v>
      </c>
      <c r="F283" s="36" t="str">
        <f t="shared" si="75"/>
        <v/>
      </c>
      <c r="G283" s="36">
        <f t="shared" si="76"/>
        <v>0</v>
      </c>
      <c r="H283" s="3" t="str">
        <f t="shared" si="77"/>
        <v/>
      </c>
      <c r="I283" s="3">
        <f t="shared" si="78"/>
        <v>0</v>
      </c>
      <c r="L283" s="35">
        <f t="shared" si="86"/>
        <v>1</v>
      </c>
      <c r="O283" s="27">
        <f t="shared" si="79"/>
        <v>0</v>
      </c>
      <c r="P283" s="3">
        <v>281</v>
      </c>
      <c r="Q283" s="3" t="e">
        <f t="shared" si="83"/>
        <v>#N/A</v>
      </c>
      <c r="R283" s="3" t="e">
        <f t="shared" si="84"/>
        <v>#N/A</v>
      </c>
      <c r="T283" s="46" t="str">
        <f t="shared" si="80"/>
        <v/>
      </c>
      <c r="U283" s="48" t="str">
        <f t="shared" si="81"/>
        <v/>
      </c>
      <c r="W283" s="56">
        <f t="shared" si="72"/>
        <v>0</v>
      </c>
      <c r="X283" s="57" t="str">
        <f t="shared" si="73"/>
        <v/>
      </c>
      <c r="Y283" s="58">
        <f t="shared" si="74"/>
        <v>0</v>
      </c>
      <c r="AA283" s="62" t="str">
        <f t="shared" si="85"/>
        <v/>
      </c>
    </row>
    <row r="284" spans="3:27">
      <c r="C284" s="82"/>
      <c r="E284" s="30" t="str">
        <f t="shared" si="82"/>
        <v>00:00:00</v>
      </c>
      <c r="F284" s="36" t="str">
        <f t="shared" si="75"/>
        <v/>
      </c>
      <c r="G284" s="36">
        <f t="shared" si="76"/>
        <v>0</v>
      </c>
      <c r="H284" s="3" t="str">
        <f t="shared" si="77"/>
        <v/>
      </c>
      <c r="I284" s="3">
        <f t="shared" si="78"/>
        <v>0</v>
      </c>
      <c r="L284" s="35">
        <f t="shared" si="86"/>
        <v>1</v>
      </c>
      <c r="O284" s="27">
        <f t="shared" si="79"/>
        <v>0</v>
      </c>
      <c r="P284" s="3">
        <v>282</v>
      </c>
      <c r="Q284" s="3" t="e">
        <f t="shared" si="83"/>
        <v>#N/A</v>
      </c>
      <c r="R284" s="3" t="e">
        <f t="shared" si="84"/>
        <v>#N/A</v>
      </c>
      <c r="T284" s="46" t="str">
        <f t="shared" si="80"/>
        <v/>
      </c>
      <c r="U284" s="48" t="str">
        <f t="shared" si="81"/>
        <v/>
      </c>
      <c r="W284" s="56">
        <f t="shared" si="72"/>
        <v>0</v>
      </c>
      <c r="X284" s="57" t="str">
        <f t="shared" si="73"/>
        <v/>
      </c>
      <c r="Y284" s="58">
        <f t="shared" si="74"/>
        <v>0</v>
      </c>
      <c r="AA284" s="62" t="str">
        <f t="shared" si="85"/>
        <v/>
      </c>
    </row>
    <row r="285" spans="3:27">
      <c r="C285" s="82"/>
      <c r="E285" s="30" t="str">
        <f t="shared" si="82"/>
        <v>00:00:00</v>
      </c>
      <c r="F285" s="36" t="str">
        <f t="shared" si="75"/>
        <v/>
      </c>
      <c r="G285" s="36">
        <f t="shared" si="76"/>
        <v>0</v>
      </c>
      <c r="H285" s="3" t="str">
        <f t="shared" si="77"/>
        <v/>
      </c>
      <c r="I285" s="3">
        <f t="shared" si="78"/>
        <v>0</v>
      </c>
      <c r="L285" s="35">
        <f t="shared" si="86"/>
        <v>1</v>
      </c>
      <c r="O285" s="27">
        <f t="shared" si="79"/>
        <v>0</v>
      </c>
      <c r="P285" s="3">
        <v>283</v>
      </c>
      <c r="Q285" s="3" t="e">
        <f t="shared" si="83"/>
        <v>#N/A</v>
      </c>
      <c r="R285" s="3" t="e">
        <f t="shared" si="84"/>
        <v>#N/A</v>
      </c>
      <c r="T285" s="46" t="str">
        <f t="shared" si="80"/>
        <v/>
      </c>
      <c r="U285" s="48" t="str">
        <f t="shared" si="81"/>
        <v/>
      </c>
      <c r="W285" s="56">
        <f t="shared" si="72"/>
        <v>0</v>
      </c>
      <c r="X285" s="57" t="str">
        <f t="shared" si="73"/>
        <v/>
      </c>
      <c r="Y285" s="58">
        <f t="shared" si="74"/>
        <v>0</v>
      </c>
      <c r="AA285" s="62" t="str">
        <f t="shared" si="85"/>
        <v/>
      </c>
    </row>
    <row r="286" spans="3:27">
      <c r="C286" s="82"/>
      <c r="E286" s="30" t="str">
        <f t="shared" si="82"/>
        <v>00:00:00</v>
      </c>
      <c r="F286" s="36" t="str">
        <f t="shared" si="75"/>
        <v/>
      </c>
      <c r="G286" s="36">
        <f t="shared" si="76"/>
        <v>0</v>
      </c>
      <c r="H286" s="3" t="str">
        <f t="shared" si="77"/>
        <v/>
      </c>
      <c r="I286" s="3">
        <f t="shared" si="78"/>
        <v>0</v>
      </c>
      <c r="L286" s="35">
        <f t="shared" si="86"/>
        <v>1</v>
      </c>
      <c r="O286" s="27">
        <f t="shared" si="79"/>
        <v>0</v>
      </c>
      <c r="P286" s="3">
        <v>284</v>
      </c>
      <c r="Q286" s="3" t="e">
        <f t="shared" si="83"/>
        <v>#N/A</v>
      </c>
      <c r="R286" s="3" t="e">
        <f t="shared" si="84"/>
        <v>#N/A</v>
      </c>
      <c r="T286" s="46" t="str">
        <f t="shared" si="80"/>
        <v/>
      </c>
      <c r="U286" s="48" t="str">
        <f t="shared" si="81"/>
        <v/>
      </c>
      <c r="W286" s="56">
        <f t="shared" si="72"/>
        <v>0</v>
      </c>
      <c r="X286" s="57" t="str">
        <f t="shared" si="73"/>
        <v/>
      </c>
      <c r="Y286" s="58">
        <f t="shared" si="74"/>
        <v>0</v>
      </c>
      <c r="AA286" s="62" t="str">
        <f t="shared" si="85"/>
        <v/>
      </c>
    </row>
    <row r="287" spans="3:27">
      <c r="C287" s="82"/>
      <c r="E287" s="30" t="str">
        <f t="shared" si="82"/>
        <v>00:00:00</v>
      </c>
      <c r="F287" s="36" t="str">
        <f t="shared" si="75"/>
        <v/>
      </c>
      <c r="G287" s="36">
        <f t="shared" si="76"/>
        <v>0</v>
      </c>
      <c r="H287" s="3" t="str">
        <f t="shared" si="77"/>
        <v/>
      </c>
      <c r="I287" s="3">
        <f t="shared" si="78"/>
        <v>0</v>
      </c>
      <c r="L287" s="35">
        <f t="shared" si="86"/>
        <v>1</v>
      </c>
      <c r="O287" s="27">
        <f t="shared" si="79"/>
        <v>0</v>
      </c>
      <c r="P287" s="3">
        <v>285</v>
      </c>
      <c r="Q287" s="3" t="e">
        <f t="shared" si="83"/>
        <v>#N/A</v>
      </c>
      <c r="R287" s="3" t="e">
        <f t="shared" si="84"/>
        <v>#N/A</v>
      </c>
      <c r="T287" s="46" t="str">
        <f t="shared" si="80"/>
        <v/>
      </c>
      <c r="U287" s="48" t="str">
        <f t="shared" si="81"/>
        <v/>
      </c>
      <c r="W287" s="56">
        <f t="shared" si="72"/>
        <v>0</v>
      </c>
      <c r="X287" s="57" t="str">
        <f t="shared" si="73"/>
        <v/>
      </c>
      <c r="Y287" s="58">
        <f t="shared" si="74"/>
        <v>0</v>
      </c>
      <c r="AA287" s="62" t="str">
        <f t="shared" si="85"/>
        <v/>
      </c>
    </row>
    <row r="288" spans="3:27">
      <c r="C288" s="82"/>
      <c r="E288" s="30" t="str">
        <f t="shared" si="82"/>
        <v>00:00:00</v>
      </c>
      <c r="F288" s="36" t="str">
        <f t="shared" si="75"/>
        <v/>
      </c>
      <c r="G288" s="36">
        <f t="shared" si="76"/>
        <v>0</v>
      </c>
      <c r="H288" s="3" t="str">
        <f t="shared" si="77"/>
        <v/>
      </c>
      <c r="I288" s="3">
        <f t="shared" si="78"/>
        <v>0</v>
      </c>
      <c r="L288" s="35">
        <f t="shared" si="86"/>
        <v>1</v>
      </c>
      <c r="O288" s="27">
        <f t="shared" si="79"/>
        <v>0</v>
      </c>
      <c r="P288" s="3">
        <v>286</v>
      </c>
      <c r="Q288" s="3" t="e">
        <f t="shared" si="83"/>
        <v>#N/A</v>
      </c>
      <c r="R288" s="3" t="e">
        <f t="shared" si="84"/>
        <v>#N/A</v>
      </c>
      <c r="T288" s="46" t="str">
        <f t="shared" si="80"/>
        <v/>
      </c>
      <c r="U288" s="48" t="str">
        <f t="shared" si="81"/>
        <v/>
      </c>
      <c r="W288" s="56">
        <f t="shared" si="72"/>
        <v>0</v>
      </c>
      <c r="X288" s="57" t="str">
        <f t="shared" si="73"/>
        <v/>
      </c>
      <c r="Y288" s="58">
        <f t="shared" si="74"/>
        <v>0</v>
      </c>
      <c r="AA288" s="62" t="str">
        <f t="shared" si="85"/>
        <v/>
      </c>
    </row>
    <row r="289" spans="3:27">
      <c r="C289" s="82"/>
      <c r="E289" s="30" t="str">
        <f t="shared" si="82"/>
        <v>00:00:00</v>
      </c>
      <c r="F289" s="36" t="str">
        <f t="shared" si="75"/>
        <v/>
      </c>
      <c r="G289" s="36">
        <f t="shared" si="76"/>
        <v>0</v>
      </c>
      <c r="H289" s="3" t="str">
        <f t="shared" si="77"/>
        <v/>
      </c>
      <c r="I289" s="3">
        <f t="shared" si="78"/>
        <v>0</v>
      </c>
      <c r="L289" s="35">
        <f t="shared" si="86"/>
        <v>1</v>
      </c>
      <c r="O289" s="27">
        <f t="shared" si="79"/>
        <v>0</v>
      </c>
      <c r="P289" s="3">
        <v>287</v>
      </c>
      <c r="Q289" s="3" t="e">
        <f t="shared" si="83"/>
        <v>#N/A</v>
      </c>
      <c r="R289" s="3" t="e">
        <f t="shared" si="84"/>
        <v>#N/A</v>
      </c>
      <c r="T289" s="46" t="str">
        <f t="shared" si="80"/>
        <v/>
      </c>
      <c r="U289" s="48" t="str">
        <f t="shared" si="81"/>
        <v/>
      </c>
      <c r="W289" s="56">
        <f t="shared" si="72"/>
        <v>0</v>
      </c>
      <c r="X289" s="57" t="str">
        <f t="shared" si="73"/>
        <v/>
      </c>
      <c r="Y289" s="58">
        <f t="shared" si="74"/>
        <v>0</v>
      </c>
      <c r="AA289" s="62" t="str">
        <f t="shared" si="85"/>
        <v/>
      </c>
    </row>
    <row r="290" spans="3:27">
      <c r="C290" s="82"/>
      <c r="E290" s="30" t="str">
        <f t="shared" si="82"/>
        <v>00:00:00</v>
      </c>
      <c r="F290" s="36" t="str">
        <f t="shared" si="75"/>
        <v/>
      </c>
      <c r="G290" s="36">
        <f t="shared" si="76"/>
        <v>0</v>
      </c>
      <c r="H290" s="3" t="str">
        <f t="shared" si="77"/>
        <v/>
      </c>
      <c r="I290" s="3">
        <f t="shared" si="78"/>
        <v>0</v>
      </c>
      <c r="L290" s="35">
        <f t="shared" si="86"/>
        <v>1</v>
      </c>
      <c r="O290" s="27">
        <f t="shared" si="79"/>
        <v>0</v>
      </c>
      <c r="P290" s="3">
        <v>288</v>
      </c>
      <c r="Q290" s="3" t="e">
        <f t="shared" si="83"/>
        <v>#N/A</v>
      </c>
      <c r="R290" s="3" t="e">
        <f t="shared" si="84"/>
        <v>#N/A</v>
      </c>
      <c r="T290" s="46" t="str">
        <f t="shared" si="80"/>
        <v/>
      </c>
      <c r="U290" s="48" t="str">
        <f t="shared" si="81"/>
        <v/>
      </c>
      <c r="W290" s="56">
        <f t="shared" si="72"/>
        <v>0</v>
      </c>
      <c r="X290" s="57" t="str">
        <f t="shared" si="73"/>
        <v/>
      </c>
      <c r="Y290" s="58">
        <f t="shared" si="74"/>
        <v>0</v>
      </c>
      <c r="AA290" s="62" t="str">
        <f t="shared" si="85"/>
        <v/>
      </c>
    </row>
    <row r="291" spans="3:27">
      <c r="C291" s="82"/>
      <c r="E291" s="30" t="str">
        <f t="shared" si="82"/>
        <v>00:00:00</v>
      </c>
      <c r="F291" s="36" t="str">
        <f t="shared" si="75"/>
        <v/>
      </c>
      <c r="G291" s="36">
        <f t="shared" si="76"/>
        <v>0</v>
      </c>
      <c r="H291" s="3" t="str">
        <f t="shared" si="77"/>
        <v/>
      </c>
      <c r="I291" s="3">
        <f t="shared" si="78"/>
        <v>0</v>
      </c>
      <c r="L291" s="35">
        <f t="shared" si="86"/>
        <v>1</v>
      </c>
      <c r="O291" s="27">
        <f t="shared" si="79"/>
        <v>0</v>
      </c>
      <c r="P291" s="3">
        <v>289</v>
      </c>
      <c r="Q291" s="3" t="e">
        <f t="shared" si="83"/>
        <v>#N/A</v>
      </c>
      <c r="R291" s="3" t="e">
        <f t="shared" si="84"/>
        <v>#N/A</v>
      </c>
      <c r="T291" s="46" t="str">
        <f t="shared" si="80"/>
        <v/>
      </c>
      <c r="U291" s="48" t="str">
        <f t="shared" si="81"/>
        <v/>
      </c>
      <c r="W291" s="56">
        <f t="shared" si="72"/>
        <v>0</v>
      </c>
      <c r="X291" s="57" t="str">
        <f t="shared" si="73"/>
        <v/>
      </c>
      <c r="Y291" s="58">
        <f t="shared" si="74"/>
        <v>0</v>
      </c>
      <c r="AA291" s="62" t="str">
        <f t="shared" si="85"/>
        <v/>
      </c>
    </row>
    <row r="292" spans="3:27">
      <c r="C292" s="82"/>
      <c r="E292" s="30" t="str">
        <f t="shared" si="82"/>
        <v>00:00:00</v>
      </c>
      <c r="F292" s="36" t="str">
        <f t="shared" si="75"/>
        <v/>
      </c>
      <c r="G292" s="36">
        <f t="shared" si="76"/>
        <v>0</v>
      </c>
      <c r="H292" s="3" t="str">
        <f t="shared" si="77"/>
        <v/>
      </c>
      <c r="I292" s="3">
        <f t="shared" si="78"/>
        <v>0</v>
      </c>
      <c r="L292" s="35">
        <f t="shared" si="86"/>
        <v>1</v>
      </c>
      <c r="O292" s="27">
        <f t="shared" si="79"/>
        <v>0</v>
      </c>
      <c r="P292" s="3">
        <v>290</v>
      </c>
      <c r="Q292" s="3" t="e">
        <f t="shared" si="83"/>
        <v>#N/A</v>
      </c>
      <c r="R292" s="3" t="e">
        <f t="shared" si="84"/>
        <v>#N/A</v>
      </c>
      <c r="T292" s="46" t="str">
        <f t="shared" si="80"/>
        <v/>
      </c>
      <c r="U292" s="48" t="str">
        <f t="shared" si="81"/>
        <v/>
      </c>
      <c r="W292" s="56">
        <f t="shared" si="72"/>
        <v>0</v>
      </c>
      <c r="X292" s="57" t="str">
        <f t="shared" si="73"/>
        <v/>
      </c>
      <c r="Y292" s="58">
        <f t="shared" si="74"/>
        <v>0</v>
      </c>
      <c r="AA292" s="62" t="str">
        <f t="shared" si="85"/>
        <v/>
      </c>
    </row>
    <row r="293" spans="3:27">
      <c r="C293" s="82"/>
      <c r="E293" s="30" t="str">
        <f t="shared" si="82"/>
        <v>00:00:00</v>
      </c>
      <c r="F293" s="36" t="str">
        <f t="shared" si="75"/>
        <v/>
      </c>
      <c r="G293" s="36">
        <f t="shared" si="76"/>
        <v>0</v>
      </c>
      <c r="H293" s="3" t="str">
        <f t="shared" si="77"/>
        <v/>
      </c>
      <c r="I293" s="3">
        <f t="shared" si="78"/>
        <v>0</v>
      </c>
      <c r="L293" s="35">
        <f t="shared" si="86"/>
        <v>1</v>
      </c>
      <c r="O293" s="27">
        <f t="shared" si="79"/>
        <v>0</v>
      </c>
      <c r="P293" s="3">
        <v>291</v>
      </c>
      <c r="Q293" s="3" t="e">
        <f t="shared" si="83"/>
        <v>#N/A</v>
      </c>
      <c r="R293" s="3" t="e">
        <f t="shared" si="84"/>
        <v>#N/A</v>
      </c>
      <c r="T293" s="46" t="str">
        <f t="shared" si="80"/>
        <v/>
      </c>
      <c r="U293" s="48" t="str">
        <f t="shared" si="81"/>
        <v/>
      </c>
      <c r="W293" s="56">
        <f t="shared" si="72"/>
        <v>0</v>
      </c>
      <c r="X293" s="57" t="str">
        <f t="shared" si="73"/>
        <v/>
      </c>
      <c r="Y293" s="58">
        <f t="shared" si="74"/>
        <v>0</v>
      </c>
      <c r="AA293" s="62" t="str">
        <f t="shared" si="85"/>
        <v/>
      </c>
    </row>
    <row r="294" spans="3:27">
      <c r="C294" s="82"/>
      <c r="E294" s="30" t="str">
        <f t="shared" si="82"/>
        <v>00:00:00</v>
      </c>
      <c r="F294" s="36" t="str">
        <f t="shared" si="75"/>
        <v/>
      </c>
      <c r="G294" s="36">
        <f t="shared" si="76"/>
        <v>0</v>
      </c>
      <c r="H294" s="3" t="str">
        <f t="shared" si="77"/>
        <v/>
      </c>
      <c r="I294" s="3">
        <f t="shared" si="78"/>
        <v>0</v>
      </c>
      <c r="L294" s="35">
        <f t="shared" si="86"/>
        <v>1</v>
      </c>
      <c r="O294" s="27">
        <f t="shared" si="79"/>
        <v>0</v>
      </c>
      <c r="P294" s="3">
        <v>292</v>
      </c>
      <c r="Q294" s="3" t="e">
        <f t="shared" si="83"/>
        <v>#N/A</v>
      </c>
      <c r="R294" s="3" t="e">
        <f t="shared" si="84"/>
        <v>#N/A</v>
      </c>
      <c r="T294" s="46" t="str">
        <f t="shared" si="80"/>
        <v/>
      </c>
      <c r="U294" s="48" t="str">
        <f t="shared" si="81"/>
        <v/>
      </c>
      <c r="W294" s="56">
        <f t="shared" si="72"/>
        <v>0</v>
      </c>
      <c r="X294" s="57" t="str">
        <f t="shared" si="73"/>
        <v/>
      </c>
      <c r="Y294" s="58">
        <f t="shared" si="74"/>
        <v>0</v>
      </c>
      <c r="AA294" s="62" t="str">
        <f t="shared" si="85"/>
        <v/>
      </c>
    </row>
    <row r="295" spans="3:27">
      <c r="C295" s="82"/>
      <c r="E295" s="30" t="str">
        <f t="shared" si="82"/>
        <v>00:00:00</v>
      </c>
      <c r="F295" s="36" t="str">
        <f t="shared" si="75"/>
        <v/>
      </c>
      <c r="G295" s="36">
        <f t="shared" si="76"/>
        <v>0</v>
      </c>
      <c r="H295" s="3" t="str">
        <f t="shared" si="77"/>
        <v/>
      </c>
      <c r="I295" s="3">
        <f t="shared" si="78"/>
        <v>0</v>
      </c>
      <c r="L295" s="35">
        <f t="shared" si="86"/>
        <v>1</v>
      </c>
      <c r="O295" s="27">
        <f t="shared" si="79"/>
        <v>0</v>
      </c>
      <c r="P295" s="3">
        <v>293</v>
      </c>
      <c r="Q295" s="3" t="e">
        <f t="shared" si="83"/>
        <v>#N/A</v>
      </c>
      <c r="R295" s="3" t="e">
        <f t="shared" si="84"/>
        <v>#N/A</v>
      </c>
      <c r="T295" s="46" t="str">
        <f t="shared" si="80"/>
        <v/>
      </c>
      <c r="U295" s="48" t="str">
        <f t="shared" si="81"/>
        <v/>
      </c>
      <c r="W295" s="56">
        <f t="shared" si="72"/>
        <v>0</v>
      </c>
      <c r="X295" s="57" t="str">
        <f t="shared" si="73"/>
        <v/>
      </c>
      <c r="Y295" s="58">
        <f t="shared" si="74"/>
        <v>0</v>
      </c>
      <c r="AA295" s="62" t="str">
        <f t="shared" si="85"/>
        <v/>
      </c>
    </row>
    <row r="296" spans="3:27">
      <c r="C296" s="82"/>
      <c r="E296" s="30" t="str">
        <f t="shared" si="82"/>
        <v>00:00:00</v>
      </c>
      <c r="F296" s="36" t="str">
        <f t="shared" si="75"/>
        <v/>
      </c>
      <c r="G296" s="36">
        <f t="shared" si="76"/>
        <v>0</v>
      </c>
      <c r="H296" s="3" t="str">
        <f t="shared" si="77"/>
        <v/>
      </c>
      <c r="I296" s="3">
        <f t="shared" si="78"/>
        <v>0</v>
      </c>
      <c r="L296" s="35">
        <f t="shared" si="86"/>
        <v>1</v>
      </c>
      <c r="O296" s="27">
        <f t="shared" si="79"/>
        <v>0</v>
      </c>
      <c r="P296" s="3">
        <v>294</v>
      </c>
      <c r="Q296" s="3" t="e">
        <f t="shared" si="83"/>
        <v>#N/A</v>
      </c>
      <c r="R296" s="3" t="e">
        <f t="shared" si="84"/>
        <v>#N/A</v>
      </c>
      <c r="T296" s="46" t="str">
        <f t="shared" si="80"/>
        <v/>
      </c>
      <c r="U296" s="48" t="str">
        <f t="shared" si="81"/>
        <v/>
      </c>
      <c r="W296" s="56">
        <f t="shared" si="72"/>
        <v>0</v>
      </c>
      <c r="X296" s="57" t="str">
        <f t="shared" si="73"/>
        <v/>
      </c>
      <c r="Y296" s="58">
        <f t="shared" si="74"/>
        <v>0</v>
      </c>
      <c r="AA296" s="62" t="str">
        <f t="shared" si="85"/>
        <v/>
      </c>
    </row>
    <row r="297" spans="3:27">
      <c r="C297" s="82"/>
      <c r="E297" s="30" t="str">
        <f t="shared" si="82"/>
        <v>00:00:00</v>
      </c>
      <c r="F297" s="36" t="str">
        <f t="shared" si="75"/>
        <v/>
      </c>
      <c r="G297" s="36">
        <f t="shared" si="76"/>
        <v>0</v>
      </c>
      <c r="H297" s="3" t="str">
        <f t="shared" si="77"/>
        <v/>
      </c>
      <c r="I297" s="3">
        <f t="shared" si="78"/>
        <v>0</v>
      </c>
      <c r="L297" s="35">
        <f t="shared" si="86"/>
        <v>1</v>
      </c>
      <c r="O297" s="27">
        <f t="shared" si="79"/>
        <v>0</v>
      </c>
      <c r="P297" s="3">
        <v>295</v>
      </c>
      <c r="Q297" s="3" t="e">
        <f t="shared" si="83"/>
        <v>#N/A</v>
      </c>
      <c r="R297" s="3" t="e">
        <f t="shared" si="84"/>
        <v>#N/A</v>
      </c>
      <c r="T297" s="46" t="str">
        <f t="shared" si="80"/>
        <v/>
      </c>
      <c r="U297" s="48" t="str">
        <f t="shared" si="81"/>
        <v/>
      </c>
      <c r="W297" s="56">
        <f t="shared" si="72"/>
        <v>0</v>
      </c>
      <c r="X297" s="57" t="str">
        <f t="shared" si="73"/>
        <v/>
      </c>
      <c r="Y297" s="58">
        <f t="shared" si="74"/>
        <v>0</v>
      </c>
      <c r="AA297" s="62" t="str">
        <f t="shared" si="85"/>
        <v/>
      </c>
    </row>
    <row r="298" spans="3:27">
      <c r="C298" s="82"/>
      <c r="E298" s="30" t="str">
        <f t="shared" si="82"/>
        <v>00:00:00</v>
      </c>
      <c r="F298" s="36" t="str">
        <f t="shared" si="75"/>
        <v/>
      </c>
      <c r="G298" s="36">
        <f t="shared" si="76"/>
        <v>0</v>
      </c>
      <c r="H298" s="3" t="str">
        <f t="shared" si="77"/>
        <v/>
      </c>
      <c r="I298" s="3">
        <f t="shared" si="78"/>
        <v>0</v>
      </c>
      <c r="L298" s="35">
        <f t="shared" si="86"/>
        <v>1</v>
      </c>
      <c r="O298" s="27">
        <f t="shared" si="79"/>
        <v>0</v>
      </c>
      <c r="P298" s="3">
        <v>296</v>
      </c>
      <c r="Q298" s="3" t="e">
        <f t="shared" si="83"/>
        <v>#N/A</v>
      </c>
      <c r="R298" s="3" t="e">
        <f t="shared" si="84"/>
        <v>#N/A</v>
      </c>
      <c r="T298" s="46" t="str">
        <f t="shared" si="80"/>
        <v/>
      </c>
      <c r="U298" s="48" t="str">
        <f t="shared" si="81"/>
        <v/>
      </c>
      <c r="W298" s="56">
        <f t="shared" si="72"/>
        <v>0</v>
      </c>
      <c r="X298" s="57" t="str">
        <f t="shared" si="73"/>
        <v/>
      </c>
      <c r="Y298" s="58">
        <f t="shared" si="74"/>
        <v>0</v>
      </c>
      <c r="AA298" s="62" t="str">
        <f t="shared" si="85"/>
        <v/>
      </c>
    </row>
    <row r="299" spans="3:27">
      <c r="C299" s="82"/>
      <c r="E299" s="30" t="str">
        <f t="shared" si="82"/>
        <v>00:00:00</v>
      </c>
      <c r="F299" s="36" t="str">
        <f t="shared" si="75"/>
        <v/>
      </c>
      <c r="G299" s="36">
        <f t="shared" si="76"/>
        <v>0</v>
      </c>
      <c r="H299" s="3" t="str">
        <f t="shared" si="77"/>
        <v/>
      </c>
      <c r="I299" s="3">
        <f t="shared" si="78"/>
        <v>0</v>
      </c>
      <c r="L299" s="35">
        <f t="shared" si="86"/>
        <v>1</v>
      </c>
      <c r="O299" s="27">
        <f t="shared" si="79"/>
        <v>0</v>
      </c>
      <c r="P299" s="3">
        <v>297</v>
      </c>
      <c r="Q299" s="3" t="e">
        <f t="shared" si="83"/>
        <v>#N/A</v>
      </c>
      <c r="R299" s="3" t="e">
        <f t="shared" si="84"/>
        <v>#N/A</v>
      </c>
      <c r="T299" s="46" t="str">
        <f t="shared" si="80"/>
        <v/>
      </c>
      <c r="U299" s="48" t="str">
        <f t="shared" si="81"/>
        <v/>
      </c>
      <c r="W299" s="56">
        <f t="shared" si="72"/>
        <v>0</v>
      </c>
      <c r="X299" s="57" t="str">
        <f t="shared" si="73"/>
        <v/>
      </c>
      <c r="Y299" s="58">
        <f t="shared" si="74"/>
        <v>0</v>
      </c>
      <c r="AA299" s="62" t="str">
        <f t="shared" si="85"/>
        <v/>
      </c>
    </row>
    <row r="300" spans="3:27">
      <c r="C300" s="82"/>
      <c r="E300" s="30" t="str">
        <f t="shared" si="82"/>
        <v>00:00:00</v>
      </c>
      <c r="F300" s="36" t="str">
        <f t="shared" si="75"/>
        <v/>
      </c>
      <c r="G300" s="36">
        <f t="shared" si="76"/>
        <v>0</v>
      </c>
      <c r="H300" s="3" t="str">
        <f t="shared" si="77"/>
        <v/>
      </c>
      <c r="I300" s="3">
        <f t="shared" si="78"/>
        <v>0</v>
      </c>
      <c r="L300" s="35">
        <f t="shared" si="86"/>
        <v>1</v>
      </c>
      <c r="O300" s="27">
        <f t="shared" si="79"/>
        <v>0</v>
      </c>
      <c r="P300" s="3">
        <v>298</v>
      </c>
      <c r="Q300" s="3" t="e">
        <f t="shared" si="83"/>
        <v>#N/A</v>
      </c>
      <c r="R300" s="3" t="e">
        <f t="shared" si="84"/>
        <v>#N/A</v>
      </c>
      <c r="T300" s="46" t="str">
        <f t="shared" si="80"/>
        <v/>
      </c>
      <c r="U300" s="48" t="str">
        <f t="shared" si="81"/>
        <v/>
      </c>
      <c r="W300" s="56">
        <f t="shared" si="72"/>
        <v>0</v>
      </c>
      <c r="X300" s="57" t="str">
        <f t="shared" si="73"/>
        <v/>
      </c>
      <c r="Y300" s="58">
        <f t="shared" si="74"/>
        <v>0</v>
      </c>
      <c r="AA300" s="62" t="str">
        <f t="shared" si="85"/>
        <v/>
      </c>
    </row>
    <row r="301" spans="3:27">
      <c r="C301" s="82"/>
      <c r="E301" s="30" t="str">
        <f t="shared" si="82"/>
        <v>00:00:00</v>
      </c>
      <c r="F301" s="36" t="str">
        <f t="shared" si="75"/>
        <v/>
      </c>
      <c r="G301" s="36">
        <f t="shared" si="76"/>
        <v>0</v>
      </c>
      <c r="H301" s="3" t="str">
        <f t="shared" si="77"/>
        <v/>
      </c>
      <c r="I301" s="3">
        <f t="shared" si="78"/>
        <v>0</v>
      </c>
      <c r="L301" s="35">
        <f t="shared" si="86"/>
        <v>1</v>
      </c>
      <c r="O301" s="27">
        <f t="shared" si="79"/>
        <v>0</v>
      </c>
      <c r="P301" s="3">
        <v>299</v>
      </c>
      <c r="Q301" s="3" t="e">
        <f t="shared" si="83"/>
        <v>#N/A</v>
      </c>
      <c r="R301" s="3" t="e">
        <f t="shared" si="84"/>
        <v>#N/A</v>
      </c>
      <c r="T301" s="46" t="str">
        <f t="shared" si="80"/>
        <v/>
      </c>
      <c r="U301" s="48" t="str">
        <f t="shared" si="81"/>
        <v/>
      </c>
      <c r="W301" s="56">
        <f t="shared" si="72"/>
        <v>0</v>
      </c>
      <c r="X301" s="57" t="str">
        <f t="shared" si="73"/>
        <v/>
      </c>
      <c r="Y301" s="58">
        <f t="shared" si="74"/>
        <v>0</v>
      </c>
      <c r="AA301" s="62" t="str">
        <f t="shared" si="85"/>
        <v/>
      </c>
    </row>
    <row r="302" spans="3:27">
      <c r="C302" s="82"/>
      <c r="E302" s="30" t="str">
        <f t="shared" si="82"/>
        <v>00:00:00</v>
      </c>
      <c r="F302" s="36" t="str">
        <f t="shared" si="75"/>
        <v/>
      </c>
      <c r="G302" s="36">
        <f t="shared" si="76"/>
        <v>0</v>
      </c>
      <c r="H302" s="3" t="str">
        <f t="shared" si="77"/>
        <v/>
      </c>
      <c r="I302" s="3">
        <f t="shared" si="78"/>
        <v>0</v>
      </c>
      <c r="L302" s="35">
        <f t="shared" si="86"/>
        <v>1</v>
      </c>
      <c r="O302" s="27">
        <f t="shared" si="79"/>
        <v>0</v>
      </c>
      <c r="P302" s="3">
        <v>300</v>
      </c>
      <c r="Q302" s="3" t="e">
        <f t="shared" si="83"/>
        <v>#N/A</v>
      </c>
      <c r="R302" s="3" t="e">
        <f t="shared" si="84"/>
        <v>#N/A</v>
      </c>
      <c r="T302" s="46" t="str">
        <f t="shared" si="80"/>
        <v/>
      </c>
      <c r="U302" s="48" t="str">
        <f t="shared" si="81"/>
        <v/>
      </c>
      <c r="W302" s="56">
        <f t="shared" si="72"/>
        <v>0</v>
      </c>
      <c r="X302" s="57" t="str">
        <f t="shared" si="73"/>
        <v/>
      </c>
      <c r="Y302" s="58">
        <f t="shared" si="74"/>
        <v>0</v>
      </c>
      <c r="AA302" s="62" t="str">
        <f t="shared" si="85"/>
        <v/>
      </c>
    </row>
    <row r="303" spans="3:27">
      <c r="C303" s="82"/>
      <c r="E303" s="30" t="str">
        <f t="shared" si="82"/>
        <v>00:00:00</v>
      </c>
      <c r="F303" s="36" t="str">
        <f t="shared" si="75"/>
        <v/>
      </c>
      <c r="G303" s="36">
        <f t="shared" si="76"/>
        <v>0</v>
      </c>
      <c r="H303" s="3" t="str">
        <f t="shared" si="77"/>
        <v/>
      </c>
      <c r="I303" s="3">
        <f t="shared" si="78"/>
        <v>0</v>
      </c>
      <c r="L303" s="35">
        <f t="shared" si="86"/>
        <v>1</v>
      </c>
      <c r="O303" s="27">
        <f t="shared" si="79"/>
        <v>0</v>
      </c>
      <c r="P303" s="3">
        <v>301</v>
      </c>
      <c r="Q303" s="3" t="e">
        <f t="shared" si="83"/>
        <v>#N/A</v>
      </c>
      <c r="R303" s="3" t="e">
        <f t="shared" si="84"/>
        <v>#N/A</v>
      </c>
      <c r="T303" s="46" t="str">
        <f t="shared" si="80"/>
        <v/>
      </c>
      <c r="U303" s="48" t="str">
        <f t="shared" si="81"/>
        <v/>
      </c>
      <c r="W303" s="56">
        <f t="shared" si="72"/>
        <v>0</v>
      </c>
      <c r="X303" s="57" t="str">
        <f t="shared" si="73"/>
        <v/>
      </c>
      <c r="Y303" s="58">
        <f t="shared" si="74"/>
        <v>0</v>
      </c>
      <c r="AA303" s="62" t="str">
        <f t="shared" si="85"/>
        <v/>
      </c>
    </row>
    <row r="304" spans="3:27">
      <c r="C304" s="82"/>
      <c r="E304" s="30" t="str">
        <f t="shared" si="82"/>
        <v>00:00:00</v>
      </c>
      <c r="F304" s="36" t="str">
        <f t="shared" si="75"/>
        <v/>
      </c>
      <c r="G304" s="36">
        <f t="shared" si="76"/>
        <v>0</v>
      </c>
      <c r="H304" s="3" t="str">
        <f t="shared" si="77"/>
        <v/>
      </c>
      <c r="I304" s="3">
        <f t="shared" si="78"/>
        <v>0</v>
      </c>
      <c r="L304" s="35">
        <f t="shared" si="86"/>
        <v>1</v>
      </c>
      <c r="O304" s="27">
        <f t="shared" si="79"/>
        <v>0</v>
      </c>
      <c r="P304" s="3">
        <v>302</v>
      </c>
      <c r="Q304" s="3" t="e">
        <f t="shared" si="83"/>
        <v>#N/A</v>
      </c>
      <c r="R304" s="3" t="e">
        <f t="shared" si="84"/>
        <v>#N/A</v>
      </c>
      <c r="T304" s="46" t="str">
        <f t="shared" si="80"/>
        <v/>
      </c>
      <c r="U304" s="48" t="str">
        <f t="shared" si="81"/>
        <v/>
      </c>
      <c r="W304" s="56">
        <f t="shared" si="72"/>
        <v>0</v>
      </c>
      <c r="X304" s="57" t="str">
        <f t="shared" si="73"/>
        <v/>
      </c>
      <c r="Y304" s="58">
        <f t="shared" si="74"/>
        <v>0</v>
      </c>
      <c r="AA304" s="62" t="str">
        <f t="shared" si="85"/>
        <v/>
      </c>
    </row>
    <row r="305" spans="3:27">
      <c r="C305" s="82"/>
      <c r="E305" s="30" t="str">
        <f t="shared" si="82"/>
        <v>00:00:00</v>
      </c>
      <c r="F305" s="36" t="str">
        <f t="shared" si="75"/>
        <v/>
      </c>
      <c r="G305" s="36">
        <f t="shared" si="76"/>
        <v>0</v>
      </c>
      <c r="H305" s="3" t="str">
        <f t="shared" si="77"/>
        <v/>
      </c>
      <c r="I305" s="3">
        <f t="shared" si="78"/>
        <v>0</v>
      </c>
      <c r="L305" s="35">
        <f t="shared" si="86"/>
        <v>1</v>
      </c>
      <c r="O305" s="27">
        <f t="shared" si="79"/>
        <v>0</v>
      </c>
      <c r="P305" s="3">
        <v>303</v>
      </c>
      <c r="Q305" s="3" t="e">
        <f t="shared" si="83"/>
        <v>#N/A</v>
      </c>
      <c r="R305" s="3" t="e">
        <f t="shared" si="84"/>
        <v>#N/A</v>
      </c>
      <c r="T305" s="46" t="str">
        <f t="shared" si="80"/>
        <v/>
      </c>
      <c r="U305" s="48" t="str">
        <f t="shared" si="81"/>
        <v/>
      </c>
      <c r="W305" s="56">
        <f t="shared" si="72"/>
        <v>0</v>
      </c>
      <c r="X305" s="57" t="str">
        <f t="shared" si="73"/>
        <v/>
      </c>
      <c r="Y305" s="58">
        <f t="shared" si="74"/>
        <v>0</v>
      </c>
      <c r="AA305" s="62" t="str">
        <f t="shared" si="85"/>
        <v/>
      </c>
    </row>
    <row r="306" spans="3:27">
      <c r="C306" s="82"/>
      <c r="E306" s="30" t="str">
        <f t="shared" si="82"/>
        <v>00:00:00</v>
      </c>
      <c r="F306" s="36" t="str">
        <f t="shared" si="75"/>
        <v/>
      </c>
      <c r="G306" s="36">
        <f t="shared" si="76"/>
        <v>0</v>
      </c>
      <c r="H306" s="3" t="str">
        <f t="shared" si="77"/>
        <v/>
      </c>
      <c r="I306" s="3">
        <f t="shared" si="78"/>
        <v>0</v>
      </c>
      <c r="L306" s="35">
        <f t="shared" si="86"/>
        <v>1</v>
      </c>
      <c r="O306" s="27">
        <f t="shared" si="79"/>
        <v>0</v>
      </c>
      <c r="P306" s="3">
        <v>304</v>
      </c>
      <c r="Q306" s="3" t="e">
        <f t="shared" si="83"/>
        <v>#N/A</v>
      </c>
      <c r="R306" s="3" t="e">
        <f t="shared" si="84"/>
        <v>#N/A</v>
      </c>
      <c r="T306" s="46" t="str">
        <f t="shared" si="80"/>
        <v/>
      </c>
      <c r="U306" s="48" t="str">
        <f t="shared" si="81"/>
        <v/>
      </c>
      <c r="W306" s="56">
        <f t="shared" si="72"/>
        <v>0</v>
      </c>
      <c r="X306" s="57" t="str">
        <f t="shared" si="73"/>
        <v/>
      </c>
      <c r="Y306" s="58">
        <f t="shared" si="74"/>
        <v>0</v>
      </c>
      <c r="AA306" s="62" t="str">
        <f t="shared" si="85"/>
        <v/>
      </c>
    </row>
    <row r="307" spans="3:27">
      <c r="C307" s="82"/>
      <c r="E307" s="30" t="str">
        <f t="shared" si="82"/>
        <v>00:00:00</v>
      </c>
      <c r="F307" s="36" t="str">
        <f t="shared" si="75"/>
        <v/>
      </c>
      <c r="G307" s="36">
        <f t="shared" si="76"/>
        <v>0</v>
      </c>
      <c r="H307" s="3" t="str">
        <f t="shared" si="77"/>
        <v/>
      </c>
      <c r="I307" s="3">
        <f t="shared" si="78"/>
        <v>0</v>
      </c>
      <c r="L307" s="35">
        <f t="shared" si="86"/>
        <v>1</v>
      </c>
      <c r="O307" s="27">
        <f t="shared" si="79"/>
        <v>0</v>
      </c>
      <c r="P307" s="3">
        <v>305</v>
      </c>
      <c r="Q307" s="3" t="e">
        <f t="shared" si="83"/>
        <v>#N/A</v>
      </c>
      <c r="R307" s="3" t="e">
        <f t="shared" si="84"/>
        <v>#N/A</v>
      </c>
      <c r="T307" s="46" t="str">
        <f t="shared" si="80"/>
        <v/>
      </c>
      <c r="U307" s="48" t="str">
        <f t="shared" si="81"/>
        <v/>
      </c>
      <c r="W307" s="56">
        <f t="shared" si="72"/>
        <v>0</v>
      </c>
      <c r="X307" s="57" t="str">
        <f t="shared" si="73"/>
        <v/>
      </c>
      <c r="Y307" s="58">
        <f t="shared" si="74"/>
        <v>0</v>
      </c>
      <c r="AA307" s="62" t="str">
        <f t="shared" si="85"/>
        <v/>
      </c>
    </row>
    <row r="308" spans="3:27">
      <c r="C308" s="82"/>
      <c r="E308" s="30" t="str">
        <f t="shared" si="82"/>
        <v>00:00:00</v>
      </c>
      <c r="F308" s="36" t="str">
        <f t="shared" si="75"/>
        <v/>
      </c>
      <c r="G308" s="36">
        <f t="shared" si="76"/>
        <v>0</v>
      </c>
      <c r="H308" s="3" t="str">
        <f t="shared" si="77"/>
        <v/>
      </c>
      <c r="I308" s="3">
        <f t="shared" si="78"/>
        <v>0</v>
      </c>
      <c r="L308" s="35">
        <f t="shared" si="86"/>
        <v>1</v>
      </c>
      <c r="O308" s="27">
        <f t="shared" si="79"/>
        <v>0</v>
      </c>
      <c r="P308" s="3">
        <v>306</v>
      </c>
      <c r="Q308" s="3" t="e">
        <f t="shared" si="83"/>
        <v>#N/A</v>
      </c>
      <c r="R308" s="3" t="e">
        <f t="shared" si="84"/>
        <v>#N/A</v>
      </c>
      <c r="T308" s="46" t="str">
        <f t="shared" si="80"/>
        <v/>
      </c>
      <c r="U308" s="48" t="str">
        <f t="shared" si="81"/>
        <v/>
      </c>
      <c r="W308" s="56">
        <f t="shared" si="72"/>
        <v>0</v>
      </c>
      <c r="X308" s="57" t="str">
        <f t="shared" si="73"/>
        <v/>
      </c>
      <c r="Y308" s="58">
        <f t="shared" si="74"/>
        <v>0</v>
      </c>
      <c r="AA308" s="62" t="str">
        <f t="shared" si="85"/>
        <v/>
      </c>
    </row>
    <row r="309" spans="3:27">
      <c r="C309" s="82"/>
      <c r="E309" s="30" t="str">
        <f t="shared" si="82"/>
        <v>00:00:00</v>
      </c>
      <c r="F309" s="36" t="str">
        <f t="shared" si="75"/>
        <v/>
      </c>
      <c r="G309" s="36">
        <f t="shared" si="76"/>
        <v>0</v>
      </c>
      <c r="H309" s="3" t="str">
        <f t="shared" si="77"/>
        <v/>
      </c>
      <c r="I309" s="3">
        <f t="shared" si="78"/>
        <v>0</v>
      </c>
      <c r="L309" s="35">
        <f t="shared" si="86"/>
        <v>1</v>
      </c>
      <c r="O309" s="27">
        <f t="shared" si="79"/>
        <v>0</v>
      </c>
      <c r="P309" s="3">
        <v>307</v>
      </c>
      <c r="Q309" s="3" t="e">
        <f t="shared" si="83"/>
        <v>#N/A</v>
      </c>
      <c r="R309" s="3" t="e">
        <f t="shared" si="84"/>
        <v>#N/A</v>
      </c>
      <c r="T309" s="46" t="str">
        <f t="shared" si="80"/>
        <v/>
      </c>
      <c r="U309" s="48" t="str">
        <f t="shared" si="81"/>
        <v/>
      </c>
      <c r="W309" s="56">
        <f t="shared" si="72"/>
        <v>0</v>
      </c>
      <c r="X309" s="57" t="str">
        <f t="shared" si="73"/>
        <v/>
      </c>
      <c r="Y309" s="58">
        <f t="shared" si="74"/>
        <v>0</v>
      </c>
      <c r="AA309" s="62" t="str">
        <f t="shared" si="85"/>
        <v/>
      </c>
    </row>
    <row r="310" spans="3:27">
      <c r="C310" s="82"/>
      <c r="E310" s="30" t="str">
        <f t="shared" si="82"/>
        <v>00:00:00</v>
      </c>
      <c r="F310" s="36" t="str">
        <f t="shared" si="75"/>
        <v/>
      </c>
      <c r="G310" s="36">
        <f t="shared" si="76"/>
        <v>0</v>
      </c>
      <c r="H310" s="3" t="str">
        <f t="shared" si="77"/>
        <v/>
      </c>
      <c r="I310" s="3">
        <f t="shared" si="78"/>
        <v>0</v>
      </c>
      <c r="L310" s="35">
        <f t="shared" si="86"/>
        <v>1</v>
      </c>
      <c r="O310" s="27">
        <f t="shared" si="79"/>
        <v>0</v>
      </c>
      <c r="P310" s="3">
        <v>308</v>
      </c>
      <c r="Q310" s="3" t="e">
        <f t="shared" si="83"/>
        <v>#N/A</v>
      </c>
      <c r="R310" s="3" t="e">
        <f t="shared" si="84"/>
        <v>#N/A</v>
      </c>
      <c r="T310" s="46" t="str">
        <f t="shared" si="80"/>
        <v/>
      </c>
      <c r="U310" s="48" t="str">
        <f t="shared" si="81"/>
        <v/>
      </c>
      <c r="W310" s="56">
        <f t="shared" si="72"/>
        <v>0</v>
      </c>
      <c r="X310" s="57" t="str">
        <f t="shared" si="73"/>
        <v/>
      </c>
      <c r="Y310" s="58">
        <f t="shared" si="74"/>
        <v>0</v>
      </c>
      <c r="AA310" s="62" t="str">
        <f t="shared" si="85"/>
        <v/>
      </c>
    </row>
    <row r="311" spans="3:27">
      <c r="C311" s="82"/>
      <c r="E311" s="30" t="str">
        <f t="shared" si="82"/>
        <v>00:00:00</v>
      </c>
      <c r="F311" s="36" t="str">
        <f t="shared" si="75"/>
        <v/>
      </c>
      <c r="G311" s="36">
        <f t="shared" si="76"/>
        <v>0</v>
      </c>
      <c r="H311" s="3" t="str">
        <f t="shared" si="77"/>
        <v/>
      </c>
      <c r="I311" s="3">
        <f t="shared" si="78"/>
        <v>0</v>
      </c>
      <c r="L311" s="35">
        <f t="shared" si="86"/>
        <v>1</v>
      </c>
      <c r="O311" s="27">
        <f t="shared" si="79"/>
        <v>0</v>
      </c>
      <c r="P311" s="3">
        <v>309</v>
      </c>
      <c r="Q311" s="3" t="e">
        <f t="shared" si="83"/>
        <v>#N/A</v>
      </c>
      <c r="R311" s="3" t="e">
        <f t="shared" si="84"/>
        <v>#N/A</v>
      </c>
      <c r="T311" s="46" t="str">
        <f t="shared" si="80"/>
        <v/>
      </c>
      <c r="U311" s="48" t="str">
        <f t="shared" si="81"/>
        <v/>
      </c>
      <c r="W311" s="56">
        <f t="shared" si="72"/>
        <v>0</v>
      </c>
      <c r="X311" s="57" t="str">
        <f t="shared" si="73"/>
        <v/>
      </c>
      <c r="Y311" s="58">
        <f t="shared" si="74"/>
        <v>0</v>
      </c>
      <c r="AA311" s="62" t="str">
        <f t="shared" si="85"/>
        <v/>
      </c>
    </row>
    <row r="312" spans="3:27">
      <c r="C312" s="82"/>
      <c r="E312" s="30" t="str">
        <f t="shared" si="82"/>
        <v>00:00:00</v>
      </c>
      <c r="F312" s="36" t="str">
        <f t="shared" si="75"/>
        <v/>
      </c>
      <c r="G312" s="36">
        <f t="shared" si="76"/>
        <v>0</v>
      </c>
      <c r="H312" s="3" t="str">
        <f t="shared" si="77"/>
        <v/>
      </c>
      <c r="I312" s="3">
        <f t="shared" si="78"/>
        <v>0</v>
      </c>
      <c r="L312" s="35">
        <f t="shared" si="86"/>
        <v>1</v>
      </c>
      <c r="O312" s="27">
        <f t="shared" si="79"/>
        <v>0</v>
      </c>
      <c r="P312" s="3">
        <v>310</v>
      </c>
      <c r="Q312" s="3" t="e">
        <f t="shared" si="83"/>
        <v>#N/A</v>
      </c>
      <c r="R312" s="3" t="e">
        <f t="shared" si="84"/>
        <v>#N/A</v>
      </c>
      <c r="T312" s="46" t="str">
        <f t="shared" si="80"/>
        <v/>
      </c>
      <c r="U312" s="48" t="str">
        <f t="shared" si="81"/>
        <v/>
      </c>
      <c r="W312" s="56">
        <f t="shared" si="72"/>
        <v>0</v>
      </c>
      <c r="X312" s="57" t="str">
        <f t="shared" si="73"/>
        <v/>
      </c>
      <c r="Y312" s="58">
        <f t="shared" si="74"/>
        <v>0</v>
      </c>
      <c r="AA312" s="62" t="str">
        <f t="shared" si="85"/>
        <v/>
      </c>
    </row>
    <row r="313" spans="3:27">
      <c r="C313" s="82"/>
      <c r="E313" s="30" t="str">
        <f t="shared" si="82"/>
        <v>00:00:00</v>
      </c>
      <c r="F313" s="36" t="str">
        <f t="shared" si="75"/>
        <v/>
      </c>
      <c r="G313" s="36">
        <f t="shared" si="76"/>
        <v>0</v>
      </c>
      <c r="H313" s="3" t="str">
        <f t="shared" si="77"/>
        <v/>
      </c>
      <c r="I313" s="3">
        <f t="shared" si="78"/>
        <v>0</v>
      </c>
      <c r="L313" s="35">
        <f t="shared" si="86"/>
        <v>1</v>
      </c>
      <c r="O313" s="27">
        <f t="shared" si="79"/>
        <v>0</v>
      </c>
      <c r="P313" s="3">
        <v>311</v>
      </c>
      <c r="Q313" s="3" t="e">
        <f t="shared" si="83"/>
        <v>#N/A</v>
      </c>
      <c r="R313" s="3" t="e">
        <f t="shared" si="84"/>
        <v>#N/A</v>
      </c>
      <c r="T313" s="46" t="str">
        <f t="shared" si="80"/>
        <v/>
      </c>
      <c r="U313" s="48" t="str">
        <f t="shared" si="81"/>
        <v/>
      </c>
      <c r="W313" s="56">
        <f t="shared" si="72"/>
        <v>0</v>
      </c>
      <c r="X313" s="57" t="str">
        <f t="shared" si="73"/>
        <v/>
      </c>
      <c r="Y313" s="58">
        <f t="shared" si="74"/>
        <v>0</v>
      </c>
      <c r="AA313" s="62" t="str">
        <f t="shared" si="85"/>
        <v/>
      </c>
    </row>
    <row r="314" spans="3:27">
      <c r="C314" s="82"/>
      <c r="E314" s="30" t="str">
        <f t="shared" si="82"/>
        <v>00:00:00</v>
      </c>
      <c r="F314" s="36" t="str">
        <f t="shared" si="75"/>
        <v/>
      </c>
      <c r="G314" s="36">
        <f t="shared" si="76"/>
        <v>0</v>
      </c>
      <c r="H314" s="3" t="str">
        <f t="shared" si="77"/>
        <v/>
      </c>
      <c r="I314" s="3">
        <f t="shared" si="78"/>
        <v>0</v>
      </c>
      <c r="L314" s="35">
        <f t="shared" si="86"/>
        <v>1</v>
      </c>
      <c r="O314" s="27">
        <f t="shared" si="79"/>
        <v>0</v>
      </c>
      <c r="P314" s="3">
        <v>312</v>
      </c>
      <c r="Q314" s="3" t="e">
        <f t="shared" si="83"/>
        <v>#N/A</v>
      </c>
      <c r="R314" s="3" t="e">
        <f t="shared" si="84"/>
        <v>#N/A</v>
      </c>
      <c r="T314" s="46" t="str">
        <f t="shared" si="80"/>
        <v/>
      </c>
      <c r="U314" s="48" t="str">
        <f t="shared" si="81"/>
        <v/>
      </c>
      <c r="W314" s="56">
        <f t="shared" si="72"/>
        <v>0</v>
      </c>
      <c r="X314" s="57" t="str">
        <f t="shared" si="73"/>
        <v/>
      </c>
      <c r="Y314" s="58">
        <f t="shared" si="74"/>
        <v>0</v>
      </c>
      <c r="AA314" s="62" t="str">
        <f t="shared" si="85"/>
        <v/>
      </c>
    </row>
    <row r="315" spans="3:27">
      <c r="C315" s="82"/>
      <c r="E315" s="30" t="str">
        <f t="shared" si="82"/>
        <v>00:00:00</v>
      </c>
      <c r="F315" s="36" t="str">
        <f t="shared" si="75"/>
        <v/>
      </c>
      <c r="G315" s="36">
        <f t="shared" si="76"/>
        <v>0</v>
      </c>
      <c r="H315" s="3" t="str">
        <f t="shared" si="77"/>
        <v/>
      </c>
      <c r="I315" s="3">
        <f t="shared" si="78"/>
        <v>0</v>
      </c>
      <c r="L315" s="35">
        <f t="shared" si="86"/>
        <v>1</v>
      </c>
      <c r="O315" s="27">
        <f t="shared" si="79"/>
        <v>0</v>
      </c>
      <c r="P315" s="3">
        <v>313</v>
      </c>
      <c r="Q315" s="3" t="e">
        <f t="shared" si="83"/>
        <v>#N/A</v>
      </c>
      <c r="R315" s="3" t="e">
        <f t="shared" si="84"/>
        <v>#N/A</v>
      </c>
      <c r="T315" s="46" t="str">
        <f t="shared" si="80"/>
        <v/>
      </c>
      <c r="U315" s="48" t="str">
        <f t="shared" si="81"/>
        <v/>
      </c>
      <c r="W315" s="56">
        <f t="shared" si="72"/>
        <v>0</v>
      </c>
      <c r="X315" s="57" t="str">
        <f t="shared" si="73"/>
        <v/>
      </c>
      <c r="Y315" s="58">
        <f t="shared" si="74"/>
        <v>0</v>
      </c>
      <c r="AA315" s="62" t="str">
        <f t="shared" si="85"/>
        <v/>
      </c>
    </row>
    <row r="316" spans="3:27">
      <c r="C316" s="82"/>
      <c r="E316" s="30" t="str">
        <f t="shared" si="82"/>
        <v>00:00:00</v>
      </c>
      <c r="F316" s="36" t="str">
        <f t="shared" si="75"/>
        <v/>
      </c>
      <c r="G316" s="36">
        <f t="shared" si="76"/>
        <v>0</v>
      </c>
      <c r="H316" s="3" t="str">
        <f t="shared" si="77"/>
        <v/>
      </c>
      <c r="I316" s="3">
        <f t="shared" si="78"/>
        <v>0</v>
      </c>
      <c r="L316" s="35">
        <f t="shared" si="86"/>
        <v>1</v>
      </c>
      <c r="O316" s="27">
        <f t="shared" si="79"/>
        <v>0</v>
      </c>
      <c r="P316" s="3">
        <v>314</v>
      </c>
      <c r="Q316" s="3" t="e">
        <f t="shared" si="83"/>
        <v>#N/A</v>
      </c>
      <c r="R316" s="3" t="e">
        <f t="shared" si="84"/>
        <v>#N/A</v>
      </c>
      <c r="T316" s="46" t="str">
        <f t="shared" si="80"/>
        <v/>
      </c>
      <c r="U316" s="48" t="str">
        <f t="shared" si="81"/>
        <v/>
      </c>
      <c r="W316" s="56">
        <f t="shared" si="72"/>
        <v>0</v>
      </c>
      <c r="X316" s="57" t="str">
        <f t="shared" si="73"/>
        <v/>
      </c>
      <c r="Y316" s="58">
        <f t="shared" si="74"/>
        <v>0</v>
      </c>
      <c r="AA316" s="62" t="str">
        <f t="shared" si="85"/>
        <v/>
      </c>
    </row>
    <row r="317" spans="3:27">
      <c r="C317" s="82"/>
      <c r="E317" s="30" t="str">
        <f t="shared" si="82"/>
        <v>00:00:00</v>
      </c>
      <c r="F317" s="36" t="str">
        <f t="shared" si="75"/>
        <v/>
      </c>
      <c r="G317" s="36">
        <f t="shared" si="76"/>
        <v>0</v>
      </c>
      <c r="H317" s="3" t="str">
        <f t="shared" si="77"/>
        <v/>
      </c>
      <c r="I317" s="3">
        <f t="shared" si="78"/>
        <v>0</v>
      </c>
      <c r="L317" s="35">
        <f t="shared" si="86"/>
        <v>1</v>
      </c>
      <c r="O317" s="27">
        <f t="shared" si="79"/>
        <v>0</v>
      </c>
      <c r="P317" s="3">
        <v>315</v>
      </c>
      <c r="Q317" s="3" t="e">
        <f t="shared" si="83"/>
        <v>#N/A</v>
      </c>
      <c r="R317" s="3" t="e">
        <f t="shared" si="84"/>
        <v>#N/A</v>
      </c>
      <c r="T317" s="46" t="str">
        <f t="shared" si="80"/>
        <v/>
      </c>
      <c r="U317" s="48" t="str">
        <f t="shared" si="81"/>
        <v/>
      </c>
      <c r="W317" s="56">
        <f t="shared" si="72"/>
        <v>0</v>
      </c>
      <c r="X317" s="57" t="str">
        <f t="shared" si="73"/>
        <v/>
      </c>
      <c r="Y317" s="58">
        <f t="shared" si="74"/>
        <v>0</v>
      </c>
      <c r="AA317" s="62" t="str">
        <f t="shared" si="85"/>
        <v/>
      </c>
    </row>
    <row r="318" spans="3:27">
      <c r="C318" s="82"/>
      <c r="E318" s="30" t="str">
        <f t="shared" si="82"/>
        <v>00:00:00</v>
      </c>
      <c r="F318" s="36" t="str">
        <f t="shared" si="75"/>
        <v/>
      </c>
      <c r="G318" s="36">
        <f t="shared" si="76"/>
        <v>0</v>
      </c>
      <c r="H318" s="3" t="str">
        <f t="shared" si="77"/>
        <v/>
      </c>
      <c r="I318" s="3">
        <f t="shared" si="78"/>
        <v>0</v>
      </c>
      <c r="L318" s="35">
        <f t="shared" si="86"/>
        <v>1</v>
      </c>
      <c r="O318" s="27">
        <f t="shared" si="79"/>
        <v>0</v>
      </c>
      <c r="P318" s="3">
        <v>316</v>
      </c>
      <c r="Q318" s="3" t="e">
        <f t="shared" si="83"/>
        <v>#N/A</v>
      </c>
      <c r="R318" s="3" t="e">
        <f t="shared" si="84"/>
        <v>#N/A</v>
      </c>
      <c r="T318" s="46" t="str">
        <f t="shared" si="80"/>
        <v/>
      </c>
      <c r="U318" s="48" t="str">
        <f t="shared" si="81"/>
        <v/>
      </c>
      <c r="W318" s="56">
        <f t="shared" si="72"/>
        <v>0</v>
      </c>
      <c r="X318" s="57" t="str">
        <f t="shared" si="73"/>
        <v/>
      </c>
      <c r="Y318" s="58">
        <f t="shared" si="74"/>
        <v>0</v>
      </c>
      <c r="AA318" s="62" t="str">
        <f t="shared" si="85"/>
        <v/>
      </c>
    </row>
    <row r="319" spans="3:27">
      <c r="C319" s="82"/>
      <c r="E319" s="30" t="str">
        <f t="shared" si="82"/>
        <v>00:00:00</v>
      </c>
      <c r="F319" s="36" t="str">
        <f t="shared" si="75"/>
        <v/>
      </c>
      <c r="G319" s="36">
        <f t="shared" si="76"/>
        <v>0</v>
      </c>
      <c r="H319" s="3" t="str">
        <f t="shared" si="77"/>
        <v/>
      </c>
      <c r="I319" s="3">
        <f t="shared" si="78"/>
        <v>0</v>
      </c>
      <c r="L319" s="35">
        <f t="shared" si="86"/>
        <v>1</v>
      </c>
      <c r="O319" s="27">
        <f t="shared" si="79"/>
        <v>0</v>
      </c>
      <c r="P319" s="3">
        <v>317</v>
      </c>
      <c r="Q319" s="3" t="e">
        <f t="shared" si="83"/>
        <v>#N/A</v>
      </c>
      <c r="R319" s="3" t="e">
        <f t="shared" si="84"/>
        <v>#N/A</v>
      </c>
      <c r="T319" s="46" t="str">
        <f t="shared" si="80"/>
        <v/>
      </c>
      <c r="U319" s="48" t="str">
        <f t="shared" si="81"/>
        <v/>
      </c>
      <c r="W319" s="56">
        <f t="shared" si="72"/>
        <v>0</v>
      </c>
      <c r="X319" s="57" t="str">
        <f t="shared" si="73"/>
        <v/>
      </c>
      <c r="Y319" s="58">
        <f t="shared" si="74"/>
        <v>0</v>
      </c>
      <c r="AA319" s="62" t="str">
        <f t="shared" si="85"/>
        <v/>
      </c>
    </row>
    <row r="320" spans="3:27">
      <c r="C320" s="82"/>
      <c r="E320" s="30" t="str">
        <f t="shared" si="82"/>
        <v>00:00:00</v>
      </c>
      <c r="F320" s="36" t="str">
        <f t="shared" si="75"/>
        <v/>
      </c>
      <c r="G320" s="36">
        <f t="shared" si="76"/>
        <v>0</v>
      </c>
      <c r="H320" s="3" t="str">
        <f t="shared" si="77"/>
        <v/>
      </c>
      <c r="I320" s="3">
        <f t="shared" si="78"/>
        <v>0</v>
      </c>
      <c r="L320" s="35">
        <f t="shared" si="86"/>
        <v>1</v>
      </c>
      <c r="O320" s="27">
        <f t="shared" si="79"/>
        <v>0</v>
      </c>
      <c r="P320" s="3">
        <v>318</v>
      </c>
      <c r="Q320" s="3" t="e">
        <f t="shared" si="83"/>
        <v>#N/A</v>
      </c>
      <c r="R320" s="3" t="e">
        <f t="shared" si="84"/>
        <v>#N/A</v>
      </c>
      <c r="T320" s="46" t="str">
        <f t="shared" si="80"/>
        <v/>
      </c>
      <c r="U320" s="48" t="str">
        <f t="shared" si="81"/>
        <v/>
      </c>
      <c r="W320" s="56">
        <f t="shared" si="72"/>
        <v>0</v>
      </c>
      <c r="X320" s="57" t="str">
        <f t="shared" si="73"/>
        <v/>
      </c>
      <c r="Y320" s="58">
        <f t="shared" si="74"/>
        <v>0</v>
      </c>
      <c r="AA320" s="62" t="str">
        <f t="shared" si="85"/>
        <v/>
      </c>
    </row>
    <row r="321" spans="3:27">
      <c r="C321" s="82"/>
      <c r="E321" s="30" t="str">
        <f t="shared" si="82"/>
        <v>00:00:00</v>
      </c>
      <c r="F321" s="36" t="str">
        <f t="shared" si="75"/>
        <v/>
      </c>
      <c r="G321" s="36">
        <f t="shared" si="76"/>
        <v>0</v>
      </c>
      <c r="H321" s="3" t="str">
        <f t="shared" si="77"/>
        <v/>
      </c>
      <c r="I321" s="3">
        <f t="shared" si="78"/>
        <v>0</v>
      </c>
      <c r="L321" s="35">
        <f t="shared" si="86"/>
        <v>1</v>
      </c>
      <c r="O321" s="27">
        <f t="shared" si="79"/>
        <v>0</v>
      </c>
      <c r="P321" s="3">
        <v>319</v>
      </c>
      <c r="Q321" s="3" t="e">
        <f t="shared" si="83"/>
        <v>#N/A</v>
      </c>
      <c r="R321" s="3" t="e">
        <f t="shared" si="84"/>
        <v>#N/A</v>
      </c>
      <c r="T321" s="46" t="str">
        <f t="shared" si="80"/>
        <v/>
      </c>
      <c r="U321" s="48" t="str">
        <f t="shared" si="81"/>
        <v/>
      </c>
      <c r="W321" s="56">
        <f t="shared" si="72"/>
        <v>0</v>
      </c>
      <c r="X321" s="57" t="str">
        <f t="shared" si="73"/>
        <v/>
      </c>
      <c r="Y321" s="58">
        <f t="shared" si="74"/>
        <v>0</v>
      </c>
      <c r="AA321" s="62" t="str">
        <f t="shared" si="85"/>
        <v/>
      </c>
    </row>
    <row r="322" spans="3:27">
      <c r="C322" s="82"/>
      <c r="E322" s="30" t="str">
        <f t="shared" si="82"/>
        <v>00:00:00</v>
      </c>
      <c r="F322" s="36" t="str">
        <f t="shared" si="75"/>
        <v/>
      </c>
      <c r="G322" s="36">
        <f t="shared" si="76"/>
        <v>0</v>
      </c>
      <c r="H322" s="3" t="str">
        <f t="shared" si="77"/>
        <v/>
      </c>
      <c r="I322" s="3">
        <f t="shared" si="78"/>
        <v>0</v>
      </c>
      <c r="L322" s="35">
        <f t="shared" si="86"/>
        <v>1</v>
      </c>
      <c r="O322" s="27">
        <f t="shared" si="79"/>
        <v>0</v>
      </c>
      <c r="P322" s="3">
        <v>320</v>
      </c>
      <c r="Q322" s="3" t="e">
        <f t="shared" si="83"/>
        <v>#N/A</v>
      </c>
      <c r="R322" s="3" t="e">
        <f t="shared" si="84"/>
        <v>#N/A</v>
      </c>
      <c r="T322" s="46" t="str">
        <f t="shared" si="80"/>
        <v/>
      </c>
      <c r="U322" s="48" t="str">
        <f t="shared" si="81"/>
        <v/>
      </c>
      <c r="W322" s="56">
        <f t="shared" ref="W322:W385" si="87">IF(H322&lt;&gt;H323,1,0)</f>
        <v>0</v>
      </c>
      <c r="X322" s="57" t="str">
        <f t="shared" ref="X322:X385" si="88">IF(W322=1,H322,"")</f>
        <v/>
      </c>
      <c r="Y322" s="58">
        <f t="shared" ref="Y322:Y385" si="89">D322</f>
        <v>0</v>
      </c>
      <c r="AA322" s="62" t="str">
        <f t="shared" si="85"/>
        <v/>
      </c>
    </row>
    <row r="323" spans="3:27">
      <c r="C323" s="82"/>
      <c r="E323" s="30" t="str">
        <f t="shared" si="82"/>
        <v>00:00:00</v>
      </c>
      <c r="F323" s="36" t="str">
        <f t="shared" ref="F323:F386" si="90">IF(G323=0,"",IF(G323&lt;8,1,IF(G323&lt;15,2,IF(G323&lt;22,3,4))))</f>
        <v/>
      </c>
      <c r="G323" s="36">
        <f t="shared" ref="G323:G386" si="91">DAY(B323)</f>
        <v>0</v>
      </c>
      <c r="H323" s="3" t="str">
        <f t="shared" ref="H323:H386" si="92">IF(ISNUMBER(B323),VLOOKUP(MONTH(B323),$J$2:$K$13,2,FALSE),"")</f>
        <v/>
      </c>
      <c r="I323" s="3">
        <f t="shared" ref="I323:I386" si="93">IF(A323&lt;&gt;A324,1,0)</f>
        <v>0</v>
      </c>
      <c r="L323" s="35">
        <f t="shared" si="86"/>
        <v>1</v>
      </c>
      <c r="O323" s="27">
        <f t="shared" ref="O323:O386" si="94">D323</f>
        <v>0</v>
      </c>
      <c r="P323" s="3">
        <v>321</v>
      </c>
      <c r="Q323" s="3" t="e">
        <f t="shared" si="83"/>
        <v>#N/A</v>
      </c>
      <c r="R323" s="3" t="e">
        <f t="shared" si="84"/>
        <v>#N/A</v>
      </c>
      <c r="T323" s="46" t="str">
        <f t="shared" ref="T323:T386" si="95">IFERROR(R323,"")</f>
        <v/>
      </c>
      <c r="U323" s="48" t="str">
        <f t="shared" ref="U323:U386" si="96">IFERROR(Q323,"")</f>
        <v/>
      </c>
      <c r="W323" s="56">
        <f t="shared" si="87"/>
        <v>0</v>
      </c>
      <c r="X323" s="57" t="str">
        <f t="shared" si="88"/>
        <v/>
      </c>
      <c r="Y323" s="58">
        <f t="shared" si="89"/>
        <v>0</v>
      </c>
      <c r="AA323" s="62" t="str">
        <f t="shared" si="85"/>
        <v/>
      </c>
    </row>
    <row r="324" spans="3:27">
      <c r="C324" s="82"/>
      <c r="E324" s="30" t="str">
        <f t="shared" ref="E324:E387" si="97">IF(A324&lt;&gt;A323,TEXT(C324,"hh:mm:ss"),TEXT(C324+E323,"hh:mm:ss"))</f>
        <v>00:00:00</v>
      </c>
      <c r="F324" s="36" t="str">
        <f t="shared" si="90"/>
        <v/>
      </c>
      <c r="G324" s="36">
        <f t="shared" si="91"/>
        <v>0</v>
      </c>
      <c r="H324" s="3" t="str">
        <f t="shared" si="92"/>
        <v/>
      </c>
      <c r="I324" s="3">
        <f t="shared" si="93"/>
        <v>0</v>
      </c>
      <c r="L324" s="35">
        <f t="shared" si="86"/>
        <v>1</v>
      </c>
      <c r="O324" s="27">
        <f t="shared" si="94"/>
        <v>0</v>
      </c>
      <c r="P324" s="3">
        <v>322</v>
      </c>
      <c r="Q324" s="3" t="e">
        <f t="shared" ref="Q324:Q387" si="98">VLOOKUP(P324,M:O,3,FALSE)</f>
        <v>#N/A</v>
      </c>
      <c r="R324" s="3" t="e">
        <f t="shared" ref="R324:R387" si="99">VLOOKUP(P324,M:N,2,FALSE)</f>
        <v>#N/A</v>
      </c>
      <c r="T324" s="46" t="str">
        <f t="shared" si="95"/>
        <v/>
      </c>
      <c r="U324" s="48" t="str">
        <f t="shared" si="96"/>
        <v/>
      </c>
      <c r="W324" s="56">
        <f t="shared" si="87"/>
        <v>0</v>
      </c>
      <c r="X324" s="57" t="str">
        <f t="shared" si="88"/>
        <v/>
      </c>
      <c r="Y324" s="58">
        <f t="shared" si="89"/>
        <v>0</v>
      </c>
      <c r="AA324" s="62" t="str">
        <f t="shared" ref="AA324:AA387" si="100">IFERROR(VLOOKUP(Z324,X:Y,2,FALSE),"")</f>
        <v/>
      </c>
    </row>
    <row r="325" spans="3:27">
      <c r="C325" s="82"/>
      <c r="E325" s="30" t="str">
        <f t="shared" si="97"/>
        <v>00:00:00</v>
      </c>
      <c r="F325" s="36" t="str">
        <f t="shared" si="90"/>
        <v/>
      </c>
      <c r="G325" s="36">
        <f t="shared" si="91"/>
        <v>0</v>
      </c>
      <c r="H325" s="3" t="str">
        <f t="shared" si="92"/>
        <v/>
      </c>
      <c r="I325" s="3">
        <f t="shared" si="93"/>
        <v>0</v>
      </c>
      <c r="L325" s="35">
        <f t="shared" si="86"/>
        <v>1</v>
      </c>
      <c r="O325" s="27">
        <f t="shared" si="94"/>
        <v>0</v>
      </c>
      <c r="P325" s="3">
        <v>323</v>
      </c>
      <c r="Q325" s="3" t="e">
        <f t="shared" si="98"/>
        <v>#N/A</v>
      </c>
      <c r="R325" s="3" t="e">
        <f t="shared" si="99"/>
        <v>#N/A</v>
      </c>
      <c r="T325" s="46" t="str">
        <f t="shared" si="95"/>
        <v/>
      </c>
      <c r="U325" s="48" t="str">
        <f t="shared" si="96"/>
        <v/>
      </c>
      <c r="W325" s="56">
        <f t="shared" si="87"/>
        <v>0</v>
      </c>
      <c r="X325" s="57" t="str">
        <f t="shared" si="88"/>
        <v/>
      </c>
      <c r="Y325" s="58">
        <f t="shared" si="89"/>
        <v>0</v>
      </c>
      <c r="AA325" s="62" t="str">
        <f t="shared" si="100"/>
        <v/>
      </c>
    </row>
    <row r="326" spans="3:27">
      <c r="C326" s="82"/>
      <c r="E326" s="30" t="str">
        <f t="shared" si="97"/>
        <v>00:00:00</v>
      </c>
      <c r="F326" s="36" t="str">
        <f t="shared" si="90"/>
        <v/>
      </c>
      <c r="G326" s="36">
        <f t="shared" si="91"/>
        <v>0</v>
      </c>
      <c r="H326" s="3" t="str">
        <f t="shared" si="92"/>
        <v/>
      </c>
      <c r="I326" s="3">
        <f t="shared" si="93"/>
        <v>0</v>
      </c>
      <c r="L326" s="35">
        <f t="shared" si="86"/>
        <v>1</v>
      </c>
      <c r="O326" s="27">
        <f t="shared" si="94"/>
        <v>0</v>
      </c>
      <c r="P326" s="3">
        <v>324</v>
      </c>
      <c r="Q326" s="3" t="e">
        <f t="shared" si="98"/>
        <v>#N/A</v>
      </c>
      <c r="R326" s="3" t="e">
        <f t="shared" si="99"/>
        <v>#N/A</v>
      </c>
      <c r="T326" s="46" t="str">
        <f t="shared" si="95"/>
        <v/>
      </c>
      <c r="U326" s="48" t="str">
        <f t="shared" si="96"/>
        <v/>
      </c>
      <c r="W326" s="56">
        <f t="shared" si="87"/>
        <v>0</v>
      </c>
      <c r="X326" s="57" t="str">
        <f t="shared" si="88"/>
        <v/>
      </c>
      <c r="Y326" s="58">
        <f t="shared" si="89"/>
        <v>0</v>
      </c>
      <c r="AA326" s="62" t="str">
        <f t="shared" si="100"/>
        <v/>
      </c>
    </row>
    <row r="327" spans="3:27">
      <c r="C327" s="82"/>
      <c r="E327" s="30" t="str">
        <f t="shared" si="97"/>
        <v>00:00:00</v>
      </c>
      <c r="F327" s="36" t="str">
        <f t="shared" si="90"/>
        <v/>
      </c>
      <c r="G327" s="36">
        <f t="shared" si="91"/>
        <v>0</v>
      </c>
      <c r="H327" s="3" t="str">
        <f t="shared" si="92"/>
        <v/>
      </c>
      <c r="I327" s="3">
        <f t="shared" si="93"/>
        <v>0</v>
      </c>
      <c r="L327" s="35">
        <f t="shared" si="86"/>
        <v>1</v>
      </c>
      <c r="O327" s="27">
        <f t="shared" si="94"/>
        <v>0</v>
      </c>
      <c r="P327" s="3">
        <v>325</v>
      </c>
      <c r="Q327" s="3" t="e">
        <f t="shared" si="98"/>
        <v>#N/A</v>
      </c>
      <c r="R327" s="3" t="e">
        <f t="shared" si="99"/>
        <v>#N/A</v>
      </c>
      <c r="T327" s="46" t="str">
        <f t="shared" si="95"/>
        <v/>
      </c>
      <c r="U327" s="48" t="str">
        <f t="shared" si="96"/>
        <v/>
      </c>
      <c r="W327" s="56">
        <f t="shared" si="87"/>
        <v>0</v>
      </c>
      <c r="X327" s="57" t="str">
        <f t="shared" si="88"/>
        <v/>
      </c>
      <c r="Y327" s="58">
        <f t="shared" si="89"/>
        <v>0</v>
      </c>
      <c r="AA327" s="62" t="str">
        <f t="shared" si="100"/>
        <v/>
      </c>
    </row>
    <row r="328" spans="3:27">
      <c r="C328" s="82"/>
      <c r="E328" s="30" t="str">
        <f t="shared" si="97"/>
        <v>00:00:00</v>
      </c>
      <c r="F328" s="36" t="str">
        <f t="shared" si="90"/>
        <v/>
      </c>
      <c r="G328" s="36">
        <f t="shared" si="91"/>
        <v>0</v>
      </c>
      <c r="H328" s="3" t="str">
        <f t="shared" si="92"/>
        <v/>
      </c>
      <c r="I328" s="3">
        <f t="shared" si="93"/>
        <v>0</v>
      </c>
      <c r="L328" s="35">
        <f t="shared" si="86"/>
        <v>1</v>
      </c>
      <c r="O328" s="27">
        <f t="shared" si="94"/>
        <v>0</v>
      </c>
      <c r="P328" s="3">
        <v>326</v>
      </c>
      <c r="Q328" s="3" t="e">
        <f t="shared" si="98"/>
        <v>#N/A</v>
      </c>
      <c r="R328" s="3" t="e">
        <f t="shared" si="99"/>
        <v>#N/A</v>
      </c>
      <c r="T328" s="46" t="str">
        <f t="shared" si="95"/>
        <v/>
      </c>
      <c r="U328" s="48" t="str">
        <f t="shared" si="96"/>
        <v/>
      </c>
      <c r="W328" s="56">
        <f t="shared" si="87"/>
        <v>0</v>
      </c>
      <c r="X328" s="57" t="str">
        <f t="shared" si="88"/>
        <v/>
      </c>
      <c r="Y328" s="58">
        <f t="shared" si="89"/>
        <v>0</v>
      </c>
      <c r="AA328" s="62" t="str">
        <f t="shared" si="100"/>
        <v/>
      </c>
    </row>
    <row r="329" spans="3:27">
      <c r="C329" s="82"/>
      <c r="E329" s="30" t="str">
        <f t="shared" si="97"/>
        <v>00:00:00</v>
      </c>
      <c r="F329" s="36" t="str">
        <f t="shared" si="90"/>
        <v/>
      </c>
      <c r="G329" s="36">
        <f t="shared" si="91"/>
        <v>0</v>
      </c>
      <c r="H329" s="3" t="str">
        <f t="shared" si="92"/>
        <v/>
      </c>
      <c r="I329" s="3">
        <f t="shared" si="93"/>
        <v>0</v>
      </c>
      <c r="L329" s="35">
        <f t="shared" si="86"/>
        <v>1</v>
      </c>
      <c r="O329" s="27">
        <f t="shared" si="94"/>
        <v>0</v>
      </c>
      <c r="P329" s="3">
        <v>327</v>
      </c>
      <c r="Q329" s="3" t="e">
        <f t="shared" si="98"/>
        <v>#N/A</v>
      </c>
      <c r="R329" s="3" t="e">
        <f t="shared" si="99"/>
        <v>#N/A</v>
      </c>
      <c r="T329" s="46" t="str">
        <f t="shared" si="95"/>
        <v/>
      </c>
      <c r="U329" s="48" t="str">
        <f t="shared" si="96"/>
        <v/>
      </c>
      <c r="W329" s="56">
        <f t="shared" si="87"/>
        <v>0</v>
      </c>
      <c r="X329" s="57" t="str">
        <f t="shared" si="88"/>
        <v/>
      </c>
      <c r="Y329" s="58">
        <f t="shared" si="89"/>
        <v>0</v>
      </c>
      <c r="AA329" s="62" t="str">
        <f t="shared" si="100"/>
        <v/>
      </c>
    </row>
    <row r="330" spans="3:27">
      <c r="C330" s="82"/>
      <c r="E330" s="30" t="str">
        <f t="shared" si="97"/>
        <v>00:00:00</v>
      </c>
      <c r="F330" s="36" t="str">
        <f t="shared" si="90"/>
        <v/>
      </c>
      <c r="G330" s="36">
        <f t="shared" si="91"/>
        <v>0</v>
      </c>
      <c r="H330" s="3" t="str">
        <f t="shared" si="92"/>
        <v/>
      </c>
      <c r="I330" s="3">
        <f t="shared" si="93"/>
        <v>0</v>
      </c>
      <c r="L330" s="35">
        <f t="shared" si="86"/>
        <v>1</v>
      </c>
      <c r="O330" s="27">
        <f t="shared" si="94"/>
        <v>0</v>
      </c>
      <c r="P330" s="3">
        <v>328</v>
      </c>
      <c r="Q330" s="3" t="e">
        <f t="shared" si="98"/>
        <v>#N/A</v>
      </c>
      <c r="R330" s="3" t="e">
        <f t="shared" si="99"/>
        <v>#N/A</v>
      </c>
      <c r="T330" s="46" t="str">
        <f t="shared" si="95"/>
        <v/>
      </c>
      <c r="U330" s="48" t="str">
        <f t="shared" si="96"/>
        <v/>
      </c>
      <c r="W330" s="56">
        <f t="shared" si="87"/>
        <v>0</v>
      </c>
      <c r="X330" s="57" t="str">
        <f t="shared" si="88"/>
        <v/>
      </c>
      <c r="Y330" s="58">
        <f t="shared" si="89"/>
        <v>0</v>
      </c>
      <c r="AA330" s="62" t="str">
        <f t="shared" si="100"/>
        <v/>
      </c>
    </row>
    <row r="331" spans="3:27">
      <c r="C331" s="82"/>
      <c r="E331" s="30" t="str">
        <f t="shared" si="97"/>
        <v>00:00:00</v>
      </c>
      <c r="F331" s="36" t="str">
        <f t="shared" si="90"/>
        <v/>
      </c>
      <c r="G331" s="36">
        <f t="shared" si="91"/>
        <v>0</v>
      </c>
      <c r="H331" s="3" t="str">
        <f t="shared" si="92"/>
        <v/>
      </c>
      <c r="I331" s="3">
        <f t="shared" si="93"/>
        <v>0</v>
      </c>
      <c r="L331" s="35">
        <f t="shared" si="86"/>
        <v>1</v>
      </c>
      <c r="O331" s="27">
        <f t="shared" si="94"/>
        <v>0</v>
      </c>
      <c r="P331" s="3">
        <v>329</v>
      </c>
      <c r="Q331" s="3" t="e">
        <f t="shared" si="98"/>
        <v>#N/A</v>
      </c>
      <c r="R331" s="3" t="e">
        <f t="shared" si="99"/>
        <v>#N/A</v>
      </c>
      <c r="T331" s="46" t="str">
        <f t="shared" si="95"/>
        <v/>
      </c>
      <c r="U331" s="48" t="str">
        <f t="shared" si="96"/>
        <v/>
      </c>
      <c r="W331" s="56">
        <f t="shared" si="87"/>
        <v>0</v>
      </c>
      <c r="X331" s="57" t="str">
        <f t="shared" si="88"/>
        <v/>
      </c>
      <c r="Y331" s="58">
        <f t="shared" si="89"/>
        <v>0</v>
      </c>
      <c r="AA331" s="62" t="str">
        <f t="shared" si="100"/>
        <v/>
      </c>
    </row>
    <row r="332" spans="3:27">
      <c r="C332" s="82"/>
      <c r="E332" s="30" t="str">
        <f t="shared" si="97"/>
        <v>00:00:00</v>
      </c>
      <c r="F332" s="36" t="str">
        <f t="shared" si="90"/>
        <v/>
      </c>
      <c r="G332" s="36">
        <f t="shared" si="91"/>
        <v>0</v>
      </c>
      <c r="H332" s="3" t="str">
        <f t="shared" si="92"/>
        <v/>
      </c>
      <c r="I332" s="3">
        <f t="shared" si="93"/>
        <v>0</v>
      </c>
      <c r="L332" s="35">
        <f t="shared" ref="L332:L395" si="101">IF(I331=1,L331+I331,L331)</f>
        <v>1</v>
      </c>
      <c r="O332" s="27">
        <f t="shared" si="94"/>
        <v>0</v>
      </c>
      <c r="P332" s="3">
        <v>330</v>
      </c>
      <c r="Q332" s="3" t="e">
        <f t="shared" si="98"/>
        <v>#N/A</v>
      </c>
      <c r="R332" s="3" t="e">
        <f t="shared" si="99"/>
        <v>#N/A</v>
      </c>
      <c r="T332" s="46" t="str">
        <f t="shared" si="95"/>
        <v/>
      </c>
      <c r="U332" s="48" t="str">
        <f t="shared" si="96"/>
        <v/>
      </c>
      <c r="W332" s="56">
        <f t="shared" si="87"/>
        <v>0</v>
      </c>
      <c r="X332" s="57" t="str">
        <f t="shared" si="88"/>
        <v/>
      </c>
      <c r="Y332" s="58">
        <f t="shared" si="89"/>
        <v>0</v>
      </c>
      <c r="AA332" s="62" t="str">
        <f t="shared" si="100"/>
        <v/>
      </c>
    </row>
    <row r="333" spans="3:27">
      <c r="C333" s="82"/>
      <c r="E333" s="30" t="str">
        <f t="shared" si="97"/>
        <v>00:00:00</v>
      </c>
      <c r="F333" s="36" t="str">
        <f t="shared" si="90"/>
        <v/>
      </c>
      <c r="G333" s="36">
        <f t="shared" si="91"/>
        <v>0</v>
      </c>
      <c r="H333" s="3" t="str">
        <f t="shared" si="92"/>
        <v/>
      </c>
      <c r="I333" s="3">
        <f t="shared" si="93"/>
        <v>0</v>
      </c>
      <c r="L333" s="35">
        <f t="shared" si="101"/>
        <v>1</v>
      </c>
      <c r="O333" s="27">
        <f t="shared" si="94"/>
        <v>0</v>
      </c>
      <c r="P333" s="3">
        <v>331</v>
      </c>
      <c r="Q333" s="3" t="e">
        <f t="shared" si="98"/>
        <v>#N/A</v>
      </c>
      <c r="R333" s="3" t="e">
        <f t="shared" si="99"/>
        <v>#N/A</v>
      </c>
      <c r="T333" s="46" t="str">
        <f t="shared" si="95"/>
        <v/>
      </c>
      <c r="U333" s="48" t="str">
        <f t="shared" si="96"/>
        <v/>
      </c>
      <c r="W333" s="56">
        <f t="shared" si="87"/>
        <v>0</v>
      </c>
      <c r="X333" s="57" t="str">
        <f t="shared" si="88"/>
        <v/>
      </c>
      <c r="Y333" s="58">
        <f t="shared" si="89"/>
        <v>0</v>
      </c>
      <c r="AA333" s="62" t="str">
        <f t="shared" si="100"/>
        <v/>
      </c>
    </row>
    <row r="334" spans="3:27">
      <c r="C334" s="82"/>
      <c r="E334" s="30" t="str">
        <f t="shared" si="97"/>
        <v>00:00:00</v>
      </c>
      <c r="F334" s="36" t="str">
        <f t="shared" si="90"/>
        <v/>
      </c>
      <c r="G334" s="36">
        <f t="shared" si="91"/>
        <v>0</v>
      </c>
      <c r="H334" s="3" t="str">
        <f t="shared" si="92"/>
        <v/>
      </c>
      <c r="I334" s="3">
        <f t="shared" si="93"/>
        <v>0</v>
      </c>
      <c r="L334" s="35">
        <f t="shared" si="101"/>
        <v>1</v>
      </c>
      <c r="O334" s="27">
        <f t="shared" si="94"/>
        <v>0</v>
      </c>
      <c r="P334" s="3">
        <v>332</v>
      </c>
      <c r="Q334" s="3" t="e">
        <f t="shared" si="98"/>
        <v>#N/A</v>
      </c>
      <c r="R334" s="3" t="e">
        <f t="shared" si="99"/>
        <v>#N/A</v>
      </c>
      <c r="T334" s="46" t="str">
        <f t="shared" si="95"/>
        <v/>
      </c>
      <c r="U334" s="48" t="str">
        <f t="shared" si="96"/>
        <v/>
      </c>
      <c r="W334" s="56">
        <f t="shared" si="87"/>
        <v>0</v>
      </c>
      <c r="X334" s="57" t="str">
        <f t="shared" si="88"/>
        <v/>
      </c>
      <c r="Y334" s="58">
        <f t="shared" si="89"/>
        <v>0</v>
      </c>
      <c r="AA334" s="62" t="str">
        <f t="shared" si="100"/>
        <v/>
      </c>
    </row>
    <row r="335" spans="3:27">
      <c r="C335" s="82"/>
      <c r="E335" s="30" t="str">
        <f t="shared" si="97"/>
        <v>00:00:00</v>
      </c>
      <c r="F335" s="36" t="str">
        <f t="shared" si="90"/>
        <v/>
      </c>
      <c r="G335" s="36">
        <f t="shared" si="91"/>
        <v>0</v>
      </c>
      <c r="H335" s="3" t="str">
        <f t="shared" si="92"/>
        <v/>
      </c>
      <c r="I335" s="3">
        <f t="shared" si="93"/>
        <v>0</v>
      </c>
      <c r="L335" s="35">
        <f t="shared" si="101"/>
        <v>1</v>
      </c>
      <c r="O335" s="27">
        <f t="shared" si="94"/>
        <v>0</v>
      </c>
      <c r="P335" s="3">
        <v>333</v>
      </c>
      <c r="Q335" s="3" t="e">
        <f t="shared" si="98"/>
        <v>#N/A</v>
      </c>
      <c r="R335" s="3" t="e">
        <f t="shared" si="99"/>
        <v>#N/A</v>
      </c>
      <c r="T335" s="46" t="str">
        <f t="shared" si="95"/>
        <v/>
      </c>
      <c r="U335" s="48" t="str">
        <f t="shared" si="96"/>
        <v/>
      </c>
      <c r="W335" s="56">
        <f t="shared" si="87"/>
        <v>0</v>
      </c>
      <c r="X335" s="57" t="str">
        <f t="shared" si="88"/>
        <v/>
      </c>
      <c r="Y335" s="58">
        <f t="shared" si="89"/>
        <v>0</v>
      </c>
      <c r="AA335" s="62" t="str">
        <f t="shared" si="100"/>
        <v/>
      </c>
    </row>
    <row r="336" spans="3:27">
      <c r="C336" s="82"/>
      <c r="E336" s="30" t="str">
        <f t="shared" si="97"/>
        <v>00:00:00</v>
      </c>
      <c r="F336" s="36" t="str">
        <f t="shared" si="90"/>
        <v/>
      </c>
      <c r="G336" s="36">
        <f t="shared" si="91"/>
        <v>0</v>
      </c>
      <c r="H336" s="3" t="str">
        <f t="shared" si="92"/>
        <v/>
      </c>
      <c r="I336" s="3">
        <f t="shared" si="93"/>
        <v>0</v>
      </c>
      <c r="L336" s="35">
        <f t="shared" si="101"/>
        <v>1</v>
      </c>
      <c r="O336" s="27">
        <f t="shared" si="94"/>
        <v>0</v>
      </c>
      <c r="P336" s="3">
        <v>334</v>
      </c>
      <c r="Q336" s="3" t="e">
        <f t="shared" si="98"/>
        <v>#N/A</v>
      </c>
      <c r="R336" s="3" t="e">
        <f t="shared" si="99"/>
        <v>#N/A</v>
      </c>
      <c r="T336" s="46" t="str">
        <f t="shared" si="95"/>
        <v/>
      </c>
      <c r="U336" s="48" t="str">
        <f t="shared" si="96"/>
        <v/>
      </c>
      <c r="W336" s="56">
        <f t="shared" si="87"/>
        <v>0</v>
      </c>
      <c r="X336" s="57" t="str">
        <f t="shared" si="88"/>
        <v/>
      </c>
      <c r="Y336" s="58">
        <f t="shared" si="89"/>
        <v>0</v>
      </c>
      <c r="AA336" s="62" t="str">
        <f t="shared" si="100"/>
        <v/>
      </c>
    </row>
    <row r="337" spans="3:27">
      <c r="C337" s="82"/>
      <c r="E337" s="30" t="str">
        <f t="shared" si="97"/>
        <v>00:00:00</v>
      </c>
      <c r="F337" s="36" t="str">
        <f t="shared" si="90"/>
        <v/>
      </c>
      <c r="G337" s="36">
        <f t="shared" si="91"/>
        <v>0</v>
      </c>
      <c r="H337" s="3" t="str">
        <f t="shared" si="92"/>
        <v/>
      </c>
      <c r="I337" s="3">
        <f t="shared" si="93"/>
        <v>0</v>
      </c>
      <c r="L337" s="35">
        <f t="shared" si="101"/>
        <v>1</v>
      </c>
      <c r="O337" s="27">
        <f t="shared" si="94"/>
        <v>0</v>
      </c>
      <c r="P337" s="3">
        <v>335</v>
      </c>
      <c r="Q337" s="3" t="e">
        <f t="shared" si="98"/>
        <v>#N/A</v>
      </c>
      <c r="R337" s="3" t="e">
        <f t="shared" si="99"/>
        <v>#N/A</v>
      </c>
      <c r="T337" s="46" t="str">
        <f t="shared" si="95"/>
        <v/>
      </c>
      <c r="U337" s="48" t="str">
        <f t="shared" si="96"/>
        <v/>
      </c>
      <c r="W337" s="56">
        <f t="shared" si="87"/>
        <v>0</v>
      </c>
      <c r="X337" s="57" t="str">
        <f t="shared" si="88"/>
        <v/>
      </c>
      <c r="Y337" s="58">
        <f t="shared" si="89"/>
        <v>0</v>
      </c>
      <c r="AA337" s="62" t="str">
        <f t="shared" si="100"/>
        <v/>
      </c>
    </row>
    <row r="338" spans="3:27">
      <c r="C338" s="82"/>
      <c r="E338" s="30" t="str">
        <f t="shared" si="97"/>
        <v>00:00:00</v>
      </c>
      <c r="F338" s="36" t="str">
        <f t="shared" si="90"/>
        <v/>
      </c>
      <c r="G338" s="36">
        <f t="shared" si="91"/>
        <v>0</v>
      </c>
      <c r="H338" s="3" t="str">
        <f t="shared" si="92"/>
        <v/>
      </c>
      <c r="I338" s="3">
        <f t="shared" si="93"/>
        <v>0</v>
      </c>
      <c r="L338" s="35">
        <f t="shared" si="101"/>
        <v>1</v>
      </c>
      <c r="O338" s="27">
        <f t="shared" si="94"/>
        <v>0</v>
      </c>
      <c r="P338" s="3">
        <v>336</v>
      </c>
      <c r="Q338" s="3" t="e">
        <f t="shared" si="98"/>
        <v>#N/A</v>
      </c>
      <c r="R338" s="3" t="e">
        <f t="shared" si="99"/>
        <v>#N/A</v>
      </c>
      <c r="T338" s="46" t="str">
        <f t="shared" si="95"/>
        <v/>
      </c>
      <c r="U338" s="48" t="str">
        <f t="shared" si="96"/>
        <v/>
      </c>
      <c r="W338" s="56">
        <f t="shared" si="87"/>
        <v>0</v>
      </c>
      <c r="X338" s="57" t="str">
        <f t="shared" si="88"/>
        <v/>
      </c>
      <c r="Y338" s="58">
        <f t="shared" si="89"/>
        <v>0</v>
      </c>
      <c r="AA338" s="62" t="str">
        <f t="shared" si="100"/>
        <v/>
      </c>
    </row>
    <row r="339" spans="3:27">
      <c r="C339" s="82"/>
      <c r="E339" s="30" t="str">
        <f t="shared" si="97"/>
        <v>00:00:00</v>
      </c>
      <c r="F339" s="36" t="str">
        <f t="shared" si="90"/>
        <v/>
      </c>
      <c r="G339" s="36">
        <f t="shared" si="91"/>
        <v>0</v>
      </c>
      <c r="H339" s="3" t="str">
        <f t="shared" si="92"/>
        <v/>
      </c>
      <c r="I339" s="3">
        <f t="shared" si="93"/>
        <v>0</v>
      </c>
      <c r="L339" s="35">
        <f t="shared" si="101"/>
        <v>1</v>
      </c>
      <c r="O339" s="27">
        <f t="shared" si="94"/>
        <v>0</v>
      </c>
      <c r="P339" s="3">
        <v>337</v>
      </c>
      <c r="Q339" s="3" t="e">
        <f t="shared" si="98"/>
        <v>#N/A</v>
      </c>
      <c r="R339" s="3" t="e">
        <f t="shared" si="99"/>
        <v>#N/A</v>
      </c>
      <c r="T339" s="46" t="str">
        <f t="shared" si="95"/>
        <v/>
      </c>
      <c r="U339" s="48" t="str">
        <f t="shared" si="96"/>
        <v/>
      </c>
      <c r="W339" s="56">
        <f t="shared" si="87"/>
        <v>0</v>
      </c>
      <c r="X339" s="57" t="str">
        <f t="shared" si="88"/>
        <v/>
      </c>
      <c r="Y339" s="58">
        <f t="shared" si="89"/>
        <v>0</v>
      </c>
      <c r="AA339" s="62" t="str">
        <f t="shared" si="100"/>
        <v/>
      </c>
    </row>
    <row r="340" spans="3:27">
      <c r="C340" s="82"/>
      <c r="E340" s="30" t="str">
        <f t="shared" si="97"/>
        <v>00:00:00</v>
      </c>
      <c r="F340" s="36" t="str">
        <f t="shared" si="90"/>
        <v/>
      </c>
      <c r="G340" s="36">
        <f t="shared" si="91"/>
        <v>0</v>
      </c>
      <c r="H340" s="3" t="str">
        <f t="shared" si="92"/>
        <v/>
      </c>
      <c r="I340" s="3">
        <f t="shared" si="93"/>
        <v>0</v>
      </c>
      <c r="L340" s="35">
        <f t="shared" si="101"/>
        <v>1</v>
      </c>
      <c r="O340" s="27">
        <f t="shared" si="94"/>
        <v>0</v>
      </c>
      <c r="P340" s="3">
        <v>338</v>
      </c>
      <c r="Q340" s="3" t="e">
        <f t="shared" si="98"/>
        <v>#N/A</v>
      </c>
      <c r="R340" s="3" t="e">
        <f t="shared" si="99"/>
        <v>#N/A</v>
      </c>
      <c r="T340" s="46" t="str">
        <f t="shared" si="95"/>
        <v/>
      </c>
      <c r="U340" s="48" t="str">
        <f t="shared" si="96"/>
        <v/>
      </c>
      <c r="W340" s="56">
        <f t="shared" si="87"/>
        <v>0</v>
      </c>
      <c r="X340" s="57" t="str">
        <f t="shared" si="88"/>
        <v/>
      </c>
      <c r="Y340" s="58">
        <f t="shared" si="89"/>
        <v>0</v>
      </c>
      <c r="AA340" s="62" t="str">
        <f t="shared" si="100"/>
        <v/>
      </c>
    </row>
    <row r="341" spans="3:27">
      <c r="C341" s="82"/>
      <c r="E341" s="30" t="str">
        <f t="shared" si="97"/>
        <v>00:00:00</v>
      </c>
      <c r="F341" s="36" t="str">
        <f t="shared" si="90"/>
        <v/>
      </c>
      <c r="G341" s="36">
        <f t="shared" si="91"/>
        <v>0</v>
      </c>
      <c r="H341" s="3" t="str">
        <f t="shared" si="92"/>
        <v/>
      </c>
      <c r="I341" s="3">
        <f t="shared" si="93"/>
        <v>0</v>
      </c>
      <c r="L341" s="35">
        <f t="shared" si="101"/>
        <v>1</v>
      </c>
      <c r="O341" s="27">
        <f t="shared" si="94"/>
        <v>0</v>
      </c>
      <c r="P341" s="3">
        <v>339</v>
      </c>
      <c r="Q341" s="3" t="e">
        <f t="shared" si="98"/>
        <v>#N/A</v>
      </c>
      <c r="R341" s="3" t="e">
        <f t="shared" si="99"/>
        <v>#N/A</v>
      </c>
      <c r="T341" s="46" t="str">
        <f t="shared" si="95"/>
        <v/>
      </c>
      <c r="U341" s="48" t="str">
        <f t="shared" si="96"/>
        <v/>
      </c>
      <c r="W341" s="56">
        <f t="shared" si="87"/>
        <v>0</v>
      </c>
      <c r="X341" s="57" t="str">
        <f t="shared" si="88"/>
        <v/>
      </c>
      <c r="Y341" s="58">
        <f t="shared" si="89"/>
        <v>0</v>
      </c>
      <c r="AA341" s="62" t="str">
        <f t="shared" si="100"/>
        <v/>
      </c>
    </row>
    <row r="342" spans="3:27">
      <c r="C342" s="82"/>
      <c r="E342" s="30" t="str">
        <f t="shared" si="97"/>
        <v>00:00:00</v>
      </c>
      <c r="F342" s="36" t="str">
        <f t="shared" si="90"/>
        <v/>
      </c>
      <c r="G342" s="36">
        <f t="shared" si="91"/>
        <v>0</v>
      </c>
      <c r="H342" s="3" t="str">
        <f t="shared" si="92"/>
        <v/>
      </c>
      <c r="I342" s="3">
        <f t="shared" si="93"/>
        <v>0</v>
      </c>
      <c r="L342" s="35">
        <f t="shared" si="101"/>
        <v>1</v>
      </c>
      <c r="O342" s="27">
        <f t="shared" si="94"/>
        <v>0</v>
      </c>
      <c r="P342" s="3">
        <v>340</v>
      </c>
      <c r="Q342" s="3" t="e">
        <f t="shared" si="98"/>
        <v>#N/A</v>
      </c>
      <c r="R342" s="3" t="e">
        <f t="shared" si="99"/>
        <v>#N/A</v>
      </c>
      <c r="T342" s="46" t="str">
        <f t="shared" si="95"/>
        <v/>
      </c>
      <c r="U342" s="48" t="str">
        <f t="shared" si="96"/>
        <v/>
      </c>
      <c r="W342" s="56">
        <f t="shared" si="87"/>
        <v>0</v>
      </c>
      <c r="X342" s="57" t="str">
        <f t="shared" si="88"/>
        <v/>
      </c>
      <c r="Y342" s="58">
        <f t="shared" si="89"/>
        <v>0</v>
      </c>
      <c r="AA342" s="62" t="str">
        <f t="shared" si="100"/>
        <v/>
      </c>
    </row>
    <row r="343" spans="3:27">
      <c r="C343" s="82"/>
      <c r="E343" s="30" t="str">
        <f t="shared" si="97"/>
        <v>00:00:00</v>
      </c>
      <c r="F343" s="36" t="str">
        <f t="shared" si="90"/>
        <v/>
      </c>
      <c r="G343" s="36">
        <f t="shared" si="91"/>
        <v>0</v>
      </c>
      <c r="H343" s="3" t="str">
        <f t="shared" si="92"/>
        <v/>
      </c>
      <c r="I343" s="3">
        <f t="shared" si="93"/>
        <v>0</v>
      </c>
      <c r="L343" s="35">
        <f t="shared" si="101"/>
        <v>1</v>
      </c>
      <c r="O343" s="27">
        <f t="shared" si="94"/>
        <v>0</v>
      </c>
      <c r="P343" s="3">
        <v>341</v>
      </c>
      <c r="Q343" s="3" t="e">
        <f t="shared" si="98"/>
        <v>#N/A</v>
      </c>
      <c r="R343" s="3" t="e">
        <f t="shared" si="99"/>
        <v>#N/A</v>
      </c>
      <c r="T343" s="46" t="str">
        <f t="shared" si="95"/>
        <v/>
      </c>
      <c r="U343" s="48" t="str">
        <f t="shared" si="96"/>
        <v/>
      </c>
      <c r="W343" s="56">
        <f t="shared" si="87"/>
        <v>0</v>
      </c>
      <c r="X343" s="57" t="str">
        <f t="shared" si="88"/>
        <v/>
      </c>
      <c r="Y343" s="58">
        <f t="shared" si="89"/>
        <v>0</v>
      </c>
      <c r="AA343" s="62" t="str">
        <f t="shared" si="100"/>
        <v/>
      </c>
    </row>
    <row r="344" spans="3:27">
      <c r="C344" s="82"/>
      <c r="E344" s="30" t="str">
        <f t="shared" si="97"/>
        <v>00:00:00</v>
      </c>
      <c r="F344" s="36" t="str">
        <f t="shared" si="90"/>
        <v/>
      </c>
      <c r="G344" s="36">
        <f t="shared" si="91"/>
        <v>0</v>
      </c>
      <c r="H344" s="3" t="str">
        <f t="shared" si="92"/>
        <v/>
      </c>
      <c r="I344" s="3">
        <f t="shared" si="93"/>
        <v>0</v>
      </c>
      <c r="L344" s="35">
        <f t="shared" si="101"/>
        <v>1</v>
      </c>
      <c r="O344" s="27">
        <f t="shared" si="94"/>
        <v>0</v>
      </c>
      <c r="P344" s="3">
        <v>342</v>
      </c>
      <c r="Q344" s="3" t="e">
        <f t="shared" si="98"/>
        <v>#N/A</v>
      </c>
      <c r="R344" s="3" t="e">
        <f t="shared" si="99"/>
        <v>#N/A</v>
      </c>
      <c r="T344" s="46" t="str">
        <f t="shared" si="95"/>
        <v/>
      </c>
      <c r="U344" s="48" t="str">
        <f t="shared" si="96"/>
        <v/>
      </c>
      <c r="W344" s="56">
        <f t="shared" si="87"/>
        <v>0</v>
      </c>
      <c r="X344" s="57" t="str">
        <f t="shared" si="88"/>
        <v/>
      </c>
      <c r="Y344" s="58">
        <f t="shared" si="89"/>
        <v>0</v>
      </c>
      <c r="AA344" s="62" t="str">
        <f t="shared" si="100"/>
        <v/>
      </c>
    </row>
    <row r="345" spans="3:27">
      <c r="C345" s="82"/>
      <c r="E345" s="30" t="str">
        <f t="shared" si="97"/>
        <v>00:00:00</v>
      </c>
      <c r="F345" s="36" t="str">
        <f t="shared" si="90"/>
        <v/>
      </c>
      <c r="G345" s="36">
        <f t="shared" si="91"/>
        <v>0</v>
      </c>
      <c r="H345" s="3" t="str">
        <f t="shared" si="92"/>
        <v/>
      </c>
      <c r="I345" s="3">
        <f t="shared" si="93"/>
        <v>0</v>
      </c>
      <c r="L345" s="35">
        <f t="shared" si="101"/>
        <v>1</v>
      </c>
      <c r="O345" s="27">
        <f t="shared" si="94"/>
        <v>0</v>
      </c>
      <c r="P345" s="3">
        <v>343</v>
      </c>
      <c r="Q345" s="3" t="e">
        <f t="shared" si="98"/>
        <v>#N/A</v>
      </c>
      <c r="R345" s="3" t="e">
        <f t="shared" si="99"/>
        <v>#N/A</v>
      </c>
      <c r="T345" s="46" t="str">
        <f t="shared" si="95"/>
        <v/>
      </c>
      <c r="U345" s="48" t="str">
        <f t="shared" si="96"/>
        <v/>
      </c>
      <c r="W345" s="56">
        <f t="shared" si="87"/>
        <v>0</v>
      </c>
      <c r="X345" s="57" t="str">
        <f t="shared" si="88"/>
        <v/>
      </c>
      <c r="Y345" s="58">
        <f t="shared" si="89"/>
        <v>0</v>
      </c>
      <c r="AA345" s="62" t="str">
        <f t="shared" si="100"/>
        <v/>
      </c>
    </row>
    <row r="346" spans="3:27">
      <c r="C346" s="82"/>
      <c r="E346" s="30" t="str">
        <f t="shared" si="97"/>
        <v>00:00:00</v>
      </c>
      <c r="F346" s="36" t="str">
        <f t="shared" si="90"/>
        <v/>
      </c>
      <c r="G346" s="36">
        <f t="shared" si="91"/>
        <v>0</v>
      </c>
      <c r="H346" s="3" t="str">
        <f t="shared" si="92"/>
        <v/>
      </c>
      <c r="I346" s="3">
        <f t="shared" si="93"/>
        <v>0</v>
      </c>
      <c r="L346" s="35">
        <f t="shared" si="101"/>
        <v>1</v>
      </c>
      <c r="O346" s="27">
        <f t="shared" si="94"/>
        <v>0</v>
      </c>
      <c r="P346" s="3">
        <v>344</v>
      </c>
      <c r="Q346" s="3" t="e">
        <f t="shared" si="98"/>
        <v>#N/A</v>
      </c>
      <c r="R346" s="3" t="e">
        <f t="shared" si="99"/>
        <v>#N/A</v>
      </c>
      <c r="T346" s="46" t="str">
        <f t="shared" si="95"/>
        <v/>
      </c>
      <c r="U346" s="48" t="str">
        <f t="shared" si="96"/>
        <v/>
      </c>
      <c r="W346" s="56">
        <f t="shared" si="87"/>
        <v>0</v>
      </c>
      <c r="X346" s="57" t="str">
        <f t="shared" si="88"/>
        <v/>
      </c>
      <c r="Y346" s="58">
        <f t="shared" si="89"/>
        <v>0</v>
      </c>
      <c r="AA346" s="62" t="str">
        <f t="shared" si="100"/>
        <v/>
      </c>
    </row>
    <row r="347" spans="3:27">
      <c r="C347" s="82"/>
      <c r="E347" s="30" t="str">
        <f t="shared" si="97"/>
        <v>00:00:00</v>
      </c>
      <c r="F347" s="36" t="str">
        <f t="shared" si="90"/>
        <v/>
      </c>
      <c r="G347" s="36">
        <f t="shared" si="91"/>
        <v>0</v>
      </c>
      <c r="H347" s="3" t="str">
        <f t="shared" si="92"/>
        <v/>
      </c>
      <c r="I347" s="3">
        <f t="shared" si="93"/>
        <v>0</v>
      </c>
      <c r="L347" s="35">
        <f t="shared" si="101"/>
        <v>1</v>
      </c>
      <c r="O347" s="27">
        <f t="shared" si="94"/>
        <v>0</v>
      </c>
      <c r="P347" s="3">
        <v>345</v>
      </c>
      <c r="Q347" s="3" t="e">
        <f t="shared" si="98"/>
        <v>#N/A</v>
      </c>
      <c r="R347" s="3" t="e">
        <f t="shared" si="99"/>
        <v>#N/A</v>
      </c>
      <c r="T347" s="46" t="str">
        <f t="shared" si="95"/>
        <v/>
      </c>
      <c r="U347" s="48" t="str">
        <f t="shared" si="96"/>
        <v/>
      </c>
      <c r="W347" s="56">
        <f t="shared" si="87"/>
        <v>0</v>
      </c>
      <c r="X347" s="57" t="str">
        <f t="shared" si="88"/>
        <v/>
      </c>
      <c r="Y347" s="58">
        <f t="shared" si="89"/>
        <v>0</v>
      </c>
      <c r="AA347" s="62" t="str">
        <f t="shared" si="100"/>
        <v/>
      </c>
    </row>
    <row r="348" spans="3:27">
      <c r="C348" s="82"/>
      <c r="E348" s="30" t="str">
        <f t="shared" si="97"/>
        <v>00:00:00</v>
      </c>
      <c r="F348" s="36" t="str">
        <f t="shared" si="90"/>
        <v/>
      </c>
      <c r="G348" s="36">
        <f t="shared" si="91"/>
        <v>0</v>
      </c>
      <c r="H348" s="3" t="str">
        <f t="shared" si="92"/>
        <v/>
      </c>
      <c r="I348" s="3">
        <f t="shared" si="93"/>
        <v>0</v>
      </c>
      <c r="L348" s="35">
        <f t="shared" si="101"/>
        <v>1</v>
      </c>
      <c r="O348" s="27">
        <f t="shared" si="94"/>
        <v>0</v>
      </c>
      <c r="P348" s="3">
        <v>346</v>
      </c>
      <c r="Q348" s="3" t="e">
        <f t="shared" si="98"/>
        <v>#N/A</v>
      </c>
      <c r="R348" s="3" t="e">
        <f t="shared" si="99"/>
        <v>#N/A</v>
      </c>
      <c r="T348" s="46" t="str">
        <f t="shared" si="95"/>
        <v/>
      </c>
      <c r="U348" s="48" t="str">
        <f t="shared" si="96"/>
        <v/>
      </c>
      <c r="W348" s="56">
        <f t="shared" si="87"/>
        <v>0</v>
      </c>
      <c r="X348" s="57" t="str">
        <f t="shared" si="88"/>
        <v/>
      </c>
      <c r="Y348" s="58">
        <f t="shared" si="89"/>
        <v>0</v>
      </c>
      <c r="AA348" s="62" t="str">
        <f t="shared" si="100"/>
        <v/>
      </c>
    </row>
    <row r="349" spans="3:27">
      <c r="C349" s="82"/>
      <c r="E349" s="30" t="str">
        <f t="shared" si="97"/>
        <v>00:00:00</v>
      </c>
      <c r="F349" s="36" t="str">
        <f t="shared" si="90"/>
        <v/>
      </c>
      <c r="G349" s="36">
        <f t="shared" si="91"/>
        <v>0</v>
      </c>
      <c r="H349" s="3" t="str">
        <f t="shared" si="92"/>
        <v/>
      </c>
      <c r="I349" s="3">
        <f t="shared" si="93"/>
        <v>0</v>
      </c>
      <c r="L349" s="35">
        <f t="shared" si="101"/>
        <v>1</v>
      </c>
      <c r="O349" s="27">
        <f t="shared" si="94"/>
        <v>0</v>
      </c>
      <c r="P349" s="3">
        <v>347</v>
      </c>
      <c r="Q349" s="3" t="e">
        <f t="shared" si="98"/>
        <v>#N/A</v>
      </c>
      <c r="R349" s="3" t="e">
        <f t="shared" si="99"/>
        <v>#N/A</v>
      </c>
      <c r="T349" s="46" t="str">
        <f t="shared" si="95"/>
        <v/>
      </c>
      <c r="U349" s="48" t="str">
        <f t="shared" si="96"/>
        <v/>
      </c>
      <c r="W349" s="56">
        <f t="shared" si="87"/>
        <v>0</v>
      </c>
      <c r="X349" s="57" t="str">
        <f t="shared" si="88"/>
        <v/>
      </c>
      <c r="Y349" s="58">
        <f t="shared" si="89"/>
        <v>0</v>
      </c>
      <c r="AA349" s="62" t="str">
        <f t="shared" si="100"/>
        <v/>
      </c>
    </row>
    <row r="350" spans="3:27">
      <c r="C350" s="82"/>
      <c r="E350" s="30" t="str">
        <f t="shared" si="97"/>
        <v>00:00:00</v>
      </c>
      <c r="F350" s="36" t="str">
        <f t="shared" si="90"/>
        <v/>
      </c>
      <c r="G350" s="36">
        <f t="shared" si="91"/>
        <v>0</v>
      </c>
      <c r="H350" s="3" t="str">
        <f t="shared" si="92"/>
        <v/>
      </c>
      <c r="I350" s="3">
        <f t="shared" si="93"/>
        <v>0</v>
      </c>
      <c r="L350" s="35">
        <f t="shared" si="101"/>
        <v>1</v>
      </c>
      <c r="O350" s="27">
        <f t="shared" si="94"/>
        <v>0</v>
      </c>
      <c r="P350" s="3">
        <v>348</v>
      </c>
      <c r="Q350" s="3" t="e">
        <f t="shared" si="98"/>
        <v>#N/A</v>
      </c>
      <c r="R350" s="3" t="e">
        <f t="shared" si="99"/>
        <v>#N/A</v>
      </c>
      <c r="T350" s="46" t="str">
        <f t="shared" si="95"/>
        <v/>
      </c>
      <c r="U350" s="48" t="str">
        <f t="shared" si="96"/>
        <v/>
      </c>
      <c r="W350" s="56">
        <f t="shared" si="87"/>
        <v>0</v>
      </c>
      <c r="X350" s="57" t="str">
        <f t="shared" si="88"/>
        <v/>
      </c>
      <c r="Y350" s="58">
        <f t="shared" si="89"/>
        <v>0</v>
      </c>
      <c r="AA350" s="62" t="str">
        <f t="shared" si="100"/>
        <v/>
      </c>
    </row>
    <row r="351" spans="3:27">
      <c r="C351" s="82"/>
      <c r="E351" s="30" t="str">
        <f t="shared" si="97"/>
        <v>00:00:00</v>
      </c>
      <c r="F351" s="36" t="str">
        <f t="shared" si="90"/>
        <v/>
      </c>
      <c r="G351" s="36">
        <f t="shared" si="91"/>
        <v>0</v>
      </c>
      <c r="H351" s="3" t="str">
        <f t="shared" si="92"/>
        <v/>
      </c>
      <c r="I351" s="3">
        <f t="shared" si="93"/>
        <v>0</v>
      </c>
      <c r="L351" s="35">
        <f t="shared" si="101"/>
        <v>1</v>
      </c>
      <c r="O351" s="27">
        <f t="shared" si="94"/>
        <v>0</v>
      </c>
      <c r="P351" s="3">
        <v>349</v>
      </c>
      <c r="Q351" s="3" t="e">
        <f t="shared" si="98"/>
        <v>#N/A</v>
      </c>
      <c r="R351" s="3" t="e">
        <f t="shared" si="99"/>
        <v>#N/A</v>
      </c>
      <c r="T351" s="46" t="str">
        <f t="shared" si="95"/>
        <v/>
      </c>
      <c r="U351" s="48" t="str">
        <f t="shared" si="96"/>
        <v/>
      </c>
      <c r="W351" s="56">
        <f t="shared" si="87"/>
        <v>0</v>
      </c>
      <c r="X351" s="57" t="str">
        <f t="shared" si="88"/>
        <v/>
      </c>
      <c r="Y351" s="58">
        <f t="shared" si="89"/>
        <v>0</v>
      </c>
      <c r="AA351" s="62" t="str">
        <f t="shared" si="100"/>
        <v/>
      </c>
    </row>
    <row r="352" spans="3:27">
      <c r="C352" s="82"/>
      <c r="E352" s="30" t="str">
        <f t="shared" si="97"/>
        <v>00:00:00</v>
      </c>
      <c r="F352" s="36" t="str">
        <f t="shared" si="90"/>
        <v/>
      </c>
      <c r="G352" s="36">
        <f t="shared" si="91"/>
        <v>0</v>
      </c>
      <c r="H352" s="3" t="str">
        <f t="shared" si="92"/>
        <v/>
      </c>
      <c r="I352" s="3">
        <f t="shared" si="93"/>
        <v>0</v>
      </c>
      <c r="L352" s="35">
        <f t="shared" si="101"/>
        <v>1</v>
      </c>
      <c r="O352" s="27">
        <f t="shared" si="94"/>
        <v>0</v>
      </c>
      <c r="P352" s="3">
        <v>350</v>
      </c>
      <c r="Q352" s="3" t="e">
        <f t="shared" si="98"/>
        <v>#N/A</v>
      </c>
      <c r="R352" s="3" t="e">
        <f t="shared" si="99"/>
        <v>#N/A</v>
      </c>
      <c r="T352" s="46" t="str">
        <f t="shared" si="95"/>
        <v/>
      </c>
      <c r="U352" s="48" t="str">
        <f t="shared" si="96"/>
        <v/>
      </c>
      <c r="W352" s="56">
        <f t="shared" si="87"/>
        <v>0</v>
      </c>
      <c r="X352" s="57" t="str">
        <f t="shared" si="88"/>
        <v/>
      </c>
      <c r="Y352" s="58">
        <f t="shared" si="89"/>
        <v>0</v>
      </c>
      <c r="AA352" s="62" t="str">
        <f t="shared" si="100"/>
        <v/>
      </c>
    </row>
    <row r="353" spans="3:27">
      <c r="C353" s="82"/>
      <c r="E353" s="30" t="str">
        <f t="shared" si="97"/>
        <v>00:00:00</v>
      </c>
      <c r="F353" s="36" t="str">
        <f t="shared" si="90"/>
        <v/>
      </c>
      <c r="G353" s="36">
        <f t="shared" si="91"/>
        <v>0</v>
      </c>
      <c r="H353" s="3" t="str">
        <f t="shared" si="92"/>
        <v/>
      </c>
      <c r="I353" s="3">
        <f t="shared" si="93"/>
        <v>0</v>
      </c>
      <c r="L353" s="35">
        <f t="shared" si="101"/>
        <v>1</v>
      </c>
      <c r="O353" s="27">
        <f t="shared" si="94"/>
        <v>0</v>
      </c>
      <c r="P353" s="3">
        <v>351</v>
      </c>
      <c r="Q353" s="3" t="e">
        <f t="shared" si="98"/>
        <v>#N/A</v>
      </c>
      <c r="R353" s="3" t="e">
        <f t="shared" si="99"/>
        <v>#N/A</v>
      </c>
      <c r="T353" s="46" t="str">
        <f t="shared" si="95"/>
        <v/>
      </c>
      <c r="U353" s="48" t="str">
        <f t="shared" si="96"/>
        <v/>
      </c>
      <c r="W353" s="56">
        <f t="shared" si="87"/>
        <v>0</v>
      </c>
      <c r="X353" s="57" t="str">
        <f t="shared" si="88"/>
        <v/>
      </c>
      <c r="Y353" s="58">
        <f t="shared" si="89"/>
        <v>0</v>
      </c>
      <c r="AA353" s="62" t="str">
        <f t="shared" si="100"/>
        <v/>
      </c>
    </row>
    <row r="354" spans="3:27">
      <c r="C354" s="82"/>
      <c r="E354" s="30" t="str">
        <f t="shared" si="97"/>
        <v>00:00:00</v>
      </c>
      <c r="F354" s="36" t="str">
        <f t="shared" si="90"/>
        <v/>
      </c>
      <c r="G354" s="36">
        <f t="shared" si="91"/>
        <v>0</v>
      </c>
      <c r="H354" s="3" t="str">
        <f t="shared" si="92"/>
        <v/>
      </c>
      <c r="I354" s="3">
        <f t="shared" si="93"/>
        <v>0</v>
      </c>
      <c r="L354" s="35">
        <f t="shared" si="101"/>
        <v>1</v>
      </c>
      <c r="O354" s="27">
        <f t="shared" si="94"/>
        <v>0</v>
      </c>
      <c r="P354" s="3">
        <v>352</v>
      </c>
      <c r="Q354" s="3" t="e">
        <f t="shared" si="98"/>
        <v>#N/A</v>
      </c>
      <c r="R354" s="3" t="e">
        <f t="shared" si="99"/>
        <v>#N/A</v>
      </c>
      <c r="T354" s="46" t="str">
        <f t="shared" si="95"/>
        <v/>
      </c>
      <c r="U354" s="48" t="str">
        <f t="shared" si="96"/>
        <v/>
      </c>
      <c r="W354" s="56">
        <f t="shared" si="87"/>
        <v>0</v>
      </c>
      <c r="X354" s="57" t="str">
        <f t="shared" si="88"/>
        <v/>
      </c>
      <c r="Y354" s="58">
        <f t="shared" si="89"/>
        <v>0</v>
      </c>
      <c r="AA354" s="62" t="str">
        <f t="shared" si="100"/>
        <v/>
      </c>
    </row>
    <row r="355" spans="3:27">
      <c r="C355" s="82"/>
      <c r="E355" s="30" t="str">
        <f t="shared" si="97"/>
        <v>00:00:00</v>
      </c>
      <c r="F355" s="36" t="str">
        <f t="shared" si="90"/>
        <v/>
      </c>
      <c r="G355" s="36">
        <f t="shared" si="91"/>
        <v>0</v>
      </c>
      <c r="H355" s="3" t="str">
        <f t="shared" si="92"/>
        <v/>
      </c>
      <c r="I355" s="3">
        <f t="shared" si="93"/>
        <v>0</v>
      </c>
      <c r="L355" s="35">
        <f t="shared" si="101"/>
        <v>1</v>
      </c>
      <c r="O355" s="27">
        <f t="shared" si="94"/>
        <v>0</v>
      </c>
      <c r="P355" s="3">
        <v>353</v>
      </c>
      <c r="Q355" s="3" t="e">
        <f t="shared" si="98"/>
        <v>#N/A</v>
      </c>
      <c r="R355" s="3" t="e">
        <f t="shared" si="99"/>
        <v>#N/A</v>
      </c>
      <c r="T355" s="46" t="str">
        <f t="shared" si="95"/>
        <v/>
      </c>
      <c r="U355" s="48" t="str">
        <f t="shared" si="96"/>
        <v/>
      </c>
      <c r="W355" s="56">
        <f t="shared" si="87"/>
        <v>0</v>
      </c>
      <c r="X355" s="57" t="str">
        <f t="shared" si="88"/>
        <v/>
      </c>
      <c r="Y355" s="58">
        <f t="shared" si="89"/>
        <v>0</v>
      </c>
      <c r="AA355" s="62" t="str">
        <f t="shared" si="100"/>
        <v/>
      </c>
    </row>
    <row r="356" spans="3:27">
      <c r="C356" s="82"/>
      <c r="E356" s="30" t="str">
        <f t="shared" si="97"/>
        <v>00:00:00</v>
      </c>
      <c r="F356" s="36" t="str">
        <f t="shared" si="90"/>
        <v/>
      </c>
      <c r="G356" s="36">
        <f t="shared" si="91"/>
        <v>0</v>
      </c>
      <c r="H356" s="3" t="str">
        <f t="shared" si="92"/>
        <v/>
      </c>
      <c r="I356" s="3">
        <f t="shared" si="93"/>
        <v>0</v>
      </c>
      <c r="L356" s="35">
        <f t="shared" si="101"/>
        <v>1</v>
      </c>
      <c r="O356" s="27">
        <f t="shared" si="94"/>
        <v>0</v>
      </c>
      <c r="P356" s="3">
        <v>354</v>
      </c>
      <c r="Q356" s="3" t="e">
        <f t="shared" si="98"/>
        <v>#N/A</v>
      </c>
      <c r="R356" s="3" t="e">
        <f t="shared" si="99"/>
        <v>#N/A</v>
      </c>
      <c r="T356" s="46" t="str">
        <f t="shared" si="95"/>
        <v/>
      </c>
      <c r="U356" s="48" t="str">
        <f t="shared" si="96"/>
        <v/>
      </c>
      <c r="W356" s="56">
        <f t="shared" si="87"/>
        <v>0</v>
      </c>
      <c r="X356" s="57" t="str">
        <f t="shared" si="88"/>
        <v/>
      </c>
      <c r="Y356" s="58">
        <f t="shared" si="89"/>
        <v>0</v>
      </c>
      <c r="AA356" s="62" t="str">
        <f t="shared" si="100"/>
        <v/>
      </c>
    </row>
    <row r="357" spans="3:27">
      <c r="C357" s="82"/>
      <c r="E357" s="30" t="str">
        <f t="shared" si="97"/>
        <v>00:00:00</v>
      </c>
      <c r="F357" s="36" t="str">
        <f t="shared" si="90"/>
        <v/>
      </c>
      <c r="G357" s="36">
        <f t="shared" si="91"/>
        <v>0</v>
      </c>
      <c r="H357" s="3" t="str">
        <f t="shared" si="92"/>
        <v/>
      </c>
      <c r="I357" s="3">
        <f t="shared" si="93"/>
        <v>0</v>
      </c>
      <c r="L357" s="35">
        <f t="shared" si="101"/>
        <v>1</v>
      </c>
      <c r="O357" s="27">
        <f t="shared" si="94"/>
        <v>0</v>
      </c>
      <c r="P357" s="3">
        <v>355</v>
      </c>
      <c r="Q357" s="3" t="e">
        <f t="shared" si="98"/>
        <v>#N/A</v>
      </c>
      <c r="R357" s="3" t="e">
        <f t="shared" si="99"/>
        <v>#N/A</v>
      </c>
      <c r="T357" s="46" t="str">
        <f t="shared" si="95"/>
        <v/>
      </c>
      <c r="U357" s="48" t="str">
        <f t="shared" si="96"/>
        <v/>
      </c>
      <c r="W357" s="56">
        <f t="shared" si="87"/>
        <v>0</v>
      </c>
      <c r="X357" s="57" t="str">
        <f t="shared" si="88"/>
        <v/>
      </c>
      <c r="Y357" s="58">
        <f t="shared" si="89"/>
        <v>0</v>
      </c>
      <c r="AA357" s="62" t="str">
        <f t="shared" si="100"/>
        <v/>
      </c>
    </row>
    <row r="358" spans="3:27">
      <c r="C358" s="82"/>
      <c r="E358" s="30" t="str">
        <f t="shared" si="97"/>
        <v>00:00:00</v>
      </c>
      <c r="F358" s="36" t="str">
        <f t="shared" si="90"/>
        <v/>
      </c>
      <c r="G358" s="36">
        <f t="shared" si="91"/>
        <v>0</v>
      </c>
      <c r="H358" s="3" t="str">
        <f t="shared" si="92"/>
        <v/>
      </c>
      <c r="I358" s="3">
        <f t="shared" si="93"/>
        <v>0</v>
      </c>
      <c r="L358" s="35">
        <f t="shared" si="101"/>
        <v>1</v>
      </c>
      <c r="O358" s="27">
        <f t="shared" si="94"/>
        <v>0</v>
      </c>
      <c r="P358" s="3">
        <v>356</v>
      </c>
      <c r="Q358" s="3" t="e">
        <f t="shared" si="98"/>
        <v>#N/A</v>
      </c>
      <c r="R358" s="3" t="e">
        <f t="shared" si="99"/>
        <v>#N/A</v>
      </c>
      <c r="T358" s="46" t="str">
        <f t="shared" si="95"/>
        <v/>
      </c>
      <c r="U358" s="48" t="str">
        <f t="shared" si="96"/>
        <v/>
      </c>
      <c r="W358" s="56">
        <f t="shared" si="87"/>
        <v>0</v>
      </c>
      <c r="X358" s="57" t="str">
        <f t="shared" si="88"/>
        <v/>
      </c>
      <c r="Y358" s="58">
        <f t="shared" si="89"/>
        <v>0</v>
      </c>
      <c r="AA358" s="62" t="str">
        <f t="shared" si="100"/>
        <v/>
      </c>
    </row>
    <row r="359" spans="3:27">
      <c r="C359" s="82"/>
      <c r="E359" s="30" t="str">
        <f t="shared" si="97"/>
        <v>00:00:00</v>
      </c>
      <c r="F359" s="36" t="str">
        <f t="shared" si="90"/>
        <v/>
      </c>
      <c r="G359" s="36">
        <f t="shared" si="91"/>
        <v>0</v>
      </c>
      <c r="H359" s="3" t="str">
        <f t="shared" si="92"/>
        <v/>
      </c>
      <c r="I359" s="3">
        <f t="shared" si="93"/>
        <v>0</v>
      </c>
      <c r="L359" s="35">
        <f t="shared" si="101"/>
        <v>1</v>
      </c>
      <c r="O359" s="27">
        <f t="shared" si="94"/>
        <v>0</v>
      </c>
      <c r="P359" s="3">
        <v>357</v>
      </c>
      <c r="Q359" s="3" t="e">
        <f t="shared" si="98"/>
        <v>#N/A</v>
      </c>
      <c r="R359" s="3" t="e">
        <f t="shared" si="99"/>
        <v>#N/A</v>
      </c>
      <c r="T359" s="46" t="str">
        <f t="shared" si="95"/>
        <v/>
      </c>
      <c r="U359" s="48" t="str">
        <f t="shared" si="96"/>
        <v/>
      </c>
      <c r="W359" s="56">
        <f t="shared" si="87"/>
        <v>0</v>
      </c>
      <c r="X359" s="57" t="str">
        <f t="shared" si="88"/>
        <v/>
      </c>
      <c r="Y359" s="58">
        <f t="shared" si="89"/>
        <v>0</v>
      </c>
      <c r="AA359" s="62" t="str">
        <f t="shared" si="100"/>
        <v/>
      </c>
    </row>
    <row r="360" spans="3:27">
      <c r="C360" s="82"/>
      <c r="E360" s="30" t="str">
        <f t="shared" si="97"/>
        <v>00:00:00</v>
      </c>
      <c r="F360" s="36" t="str">
        <f t="shared" si="90"/>
        <v/>
      </c>
      <c r="G360" s="36">
        <f t="shared" si="91"/>
        <v>0</v>
      </c>
      <c r="H360" s="3" t="str">
        <f t="shared" si="92"/>
        <v/>
      </c>
      <c r="I360" s="3">
        <f t="shared" si="93"/>
        <v>0</v>
      </c>
      <c r="L360" s="35">
        <f t="shared" si="101"/>
        <v>1</v>
      </c>
      <c r="O360" s="27">
        <f t="shared" si="94"/>
        <v>0</v>
      </c>
      <c r="P360" s="3">
        <v>358</v>
      </c>
      <c r="Q360" s="3" t="e">
        <f t="shared" si="98"/>
        <v>#N/A</v>
      </c>
      <c r="R360" s="3" t="e">
        <f t="shared" si="99"/>
        <v>#N/A</v>
      </c>
      <c r="T360" s="46" t="str">
        <f t="shared" si="95"/>
        <v/>
      </c>
      <c r="U360" s="48" t="str">
        <f t="shared" si="96"/>
        <v/>
      </c>
      <c r="W360" s="56">
        <f t="shared" si="87"/>
        <v>0</v>
      </c>
      <c r="X360" s="57" t="str">
        <f t="shared" si="88"/>
        <v/>
      </c>
      <c r="Y360" s="58">
        <f t="shared" si="89"/>
        <v>0</v>
      </c>
      <c r="AA360" s="62" t="str">
        <f t="shared" si="100"/>
        <v/>
      </c>
    </row>
    <row r="361" spans="3:27">
      <c r="C361" s="82"/>
      <c r="E361" s="30" t="str">
        <f t="shared" si="97"/>
        <v>00:00:00</v>
      </c>
      <c r="F361" s="36" t="str">
        <f t="shared" si="90"/>
        <v/>
      </c>
      <c r="G361" s="36">
        <f t="shared" si="91"/>
        <v>0</v>
      </c>
      <c r="H361" s="3" t="str">
        <f t="shared" si="92"/>
        <v/>
      </c>
      <c r="I361" s="3">
        <f t="shared" si="93"/>
        <v>0</v>
      </c>
      <c r="L361" s="35">
        <f t="shared" si="101"/>
        <v>1</v>
      </c>
      <c r="O361" s="27">
        <f t="shared" si="94"/>
        <v>0</v>
      </c>
      <c r="P361" s="3">
        <v>359</v>
      </c>
      <c r="Q361" s="3" t="e">
        <f t="shared" si="98"/>
        <v>#N/A</v>
      </c>
      <c r="R361" s="3" t="e">
        <f t="shared" si="99"/>
        <v>#N/A</v>
      </c>
      <c r="T361" s="46" t="str">
        <f t="shared" si="95"/>
        <v/>
      </c>
      <c r="U361" s="48" t="str">
        <f t="shared" si="96"/>
        <v/>
      </c>
      <c r="W361" s="56">
        <f t="shared" si="87"/>
        <v>0</v>
      </c>
      <c r="X361" s="57" t="str">
        <f t="shared" si="88"/>
        <v/>
      </c>
      <c r="Y361" s="58">
        <f t="shared" si="89"/>
        <v>0</v>
      </c>
      <c r="AA361" s="62" t="str">
        <f t="shared" si="100"/>
        <v/>
      </c>
    </row>
    <row r="362" spans="3:27">
      <c r="C362" s="82"/>
      <c r="E362" s="30" t="str">
        <f t="shared" si="97"/>
        <v>00:00:00</v>
      </c>
      <c r="F362" s="36" t="str">
        <f t="shared" si="90"/>
        <v/>
      </c>
      <c r="G362" s="36">
        <f t="shared" si="91"/>
        <v>0</v>
      </c>
      <c r="H362" s="3" t="str">
        <f t="shared" si="92"/>
        <v/>
      </c>
      <c r="I362" s="3">
        <f t="shared" si="93"/>
        <v>0</v>
      </c>
      <c r="L362" s="35">
        <f t="shared" si="101"/>
        <v>1</v>
      </c>
      <c r="O362" s="27">
        <f t="shared" si="94"/>
        <v>0</v>
      </c>
      <c r="P362" s="3">
        <v>360</v>
      </c>
      <c r="Q362" s="3" t="e">
        <f t="shared" si="98"/>
        <v>#N/A</v>
      </c>
      <c r="R362" s="3" t="e">
        <f t="shared" si="99"/>
        <v>#N/A</v>
      </c>
      <c r="T362" s="46" t="str">
        <f t="shared" si="95"/>
        <v/>
      </c>
      <c r="U362" s="48" t="str">
        <f t="shared" si="96"/>
        <v/>
      </c>
      <c r="W362" s="56">
        <f t="shared" si="87"/>
        <v>0</v>
      </c>
      <c r="X362" s="57" t="str">
        <f t="shared" si="88"/>
        <v/>
      </c>
      <c r="Y362" s="58">
        <f t="shared" si="89"/>
        <v>0</v>
      </c>
      <c r="AA362" s="62" t="str">
        <f t="shared" si="100"/>
        <v/>
      </c>
    </row>
    <row r="363" spans="3:27">
      <c r="C363" s="82"/>
      <c r="E363" s="30" t="str">
        <f t="shared" si="97"/>
        <v>00:00:00</v>
      </c>
      <c r="F363" s="36" t="str">
        <f t="shared" si="90"/>
        <v/>
      </c>
      <c r="G363" s="36">
        <f t="shared" si="91"/>
        <v>0</v>
      </c>
      <c r="H363" s="3" t="str">
        <f t="shared" si="92"/>
        <v/>
      </c>
      <c r="I363" s="3">
        <f t="shared" si="93"/>
        <v>0</v>
      </c>
      <c r="L363" s="35">
        <f t="shared" si="101"/>
        <v>1</v>
      </c>
      <c r="O363" s="27">
        <f t="shared" si="94"/>
        <v>0</v>
      </c>
      <c r="P363" s="3">
        <v>361</v>
      </c>
      <c r="Q363" s="3" t="e">
        <f t="shared" si="98"/>
        <v>#N/A</v>
      </c>
      <c r="R363" s="3" t="e">
        <f t="shared" si="99"/>
        <v>#N/A</v>
      </c>
      <c r="T363" s="46" t="str">
        <f t="shared" si="95"/>
        <v/>
      </c>
      <c r="U363" s="48" t="str">
        <f t="shared" si="96"/>
        <v/>
      </c>
      <c r="W363" s="56">
        <f t="shared" si="87"/>
        <v>0</v>
      </c>
      <c r="X363" s="57" t="str">
        <f t="shared" si="88"/>
        <v/>
      </c>
      <c r="Y363" s="58">
        <f t="shared" si="89"/>
        <v>0</v>
      </c>
      <c r="AA363" s="62" t="str">
        <f t="shared" si="100"/>
        <v/>
      </c>
    </row>
    <row r="364" spans="3:27">
      <c r="C364" s="82"/>
      <c r="E364" s="30" t="str">
        <f t="shared" si="97"/>
        <v>00:00:00</v>
      </c>
      <c r="F364" s="36" t="str">
        <f t="shared" si="90"/>
        <v/>
      </c>
      <c r="G364" s="36">
        <f t="shared" si="91"/>
        <v>0</v>
      </c>
      <c r="H364" s="3" t="str">
        <f t="shared" si="92"/>
        <v/>
      </c>
      <c r="I364" s="3">
        <f t="shared" si="93"/>
        <v>0</v>
      </c>
      <c r="L364" s="35">
        <f t="shared" si="101"/>
        <v>1</v>
      </c>
      <c r="O364" s="27">
        <f t="shared" si="94"/>
        <v>0</v>
      </c>
      <c r="P364" s="3">
        <v>362</v>
      </c>
      <c r="Q364" s="3" t="e">
        <f t="shared" si="98"/>
        <v>#N/A</v>
      </c>
      <c r="R364" s="3" t="e">
        <f t="shared" si="99"/>
        <v>#N/A</v>
      </c>
      <c r="T364" s="46" t="str">
        <f t="shared" si="95"/>
        <v/>
      </c>
      <c r="U364" s="48" t="str">
        <f t="shared" si="96"/>
        <v/>
      </c>
      <c r="W364" s="56">
        <f t="shared" si="87"/>
        <v>0</v>
      </c>
      <c r="X364" s="57" t="str">
        <f t="shared" si="88"/>
        <v/>
      </c>
      <c r="Y364" s="58">
        <f t="shared" si="89"/>
        <v>0</v>
      </c>
      <c r="AA364" s="62" t="str">
        <f t="shared" si="100"/>
        <v/>
      </c>
    </row>
    <row r="365" spans="3:27">
      <c r="C365" s="82"/>
      <c r="E365" s="30" t="str">
        <f t="shared" si="97"/>
        <v>00:00:00</v>
      </c>
      <c r="F365" s="36" t="str">
        <f t="shared" si="90"/>
        <v/>
      </c>
      <c r="G365" s="36">
        <f t="shared" si="91"/>
        <v>0</v>
      </c>
      <c r="H365" s="3" t="str">
        <f t="shared" si="92"/>
        <v/>
      </c>
      <c r="I365" s="3">
        <f t="shared" si="93"/>
        <v>0</v>
      </c>
      <c r="L365" s="35">
        <f t="shared" si="101"/>
        <v>1</v>
      </c>
      <c r="O365" s="27">
        <f t="shared" si="94"/>
        <v>0</v>
      </c>
      <c r="P365" s="3">
        <v>363</v>
      </c>
      <c r="Q365" s="3" t="e">
        <f t="shared" si="98"/>
        <v>#N/A</v>
      </c>
      <c r="R365" s="3" t="e">
        <f t="shared" si="99"/>
        <v>#N/A</v>
      </c>
      <c r="T365" s="46" t="str">
        <f t="shared" si="95"/>
        <v/>
      </c>
      <c r="U365" s="48" t="str">
        <f t="shared" si="96"/>
        <v/>
      </c>
      <c r="W365" s="56">
        <f t="shared" si="87"/>
        <v>0</v>
      </c>
      <c r="X365" s="57" t="str">
        <f t="shared" si="88"/>
        <v/>
      </c>
      <c r="Y365" s="58">
        <f t="shared" si="89"/>
        <v>0</v>
      </c>
      <c r="AA365" s="62" t="str">
        <f t="shared" si="100"/>
        <v/>
      </c>
    </row>
    <row r="366" spans="3:27">
      <c r="C366" s="82"/>
      <c r="E366" s="30" t="str">
        <f t="shared" si="97"/>
        <v>00:00:00</v>
      </c>
      <c r="F366" s="36" t="str">
        <f t="shared" si="90"/>
        <v/>
      </c>
      <c r="G366" s="36">
        <f t="shared" si="91"/>
        <v>0</v>
      </c>
      <c r="H366" s="3" t="str">
        <f t="shared" si="92"/>
        <v/>
      </c>
      <c r="I366" s="3">
        <f t="shared" si="93"/>
        <v>0</v>
      </c>
      <c r="L366" s="35">
        <f t="shared" si="101"/>
        <v>1</v>
      </c>
      <c r="O366" s="27">
        <f t="shared" si="94"/>
        <v>0</v>
      </c>
      <c r="P366" s="3">
        <v>364</v>
      </c>
      <c r="Q366" s="3" t="e">
        <f t="shared" si="98"/>
        <v>#N/A</v>
      </c>
      <c r="R366" s="3" t="e">
        <f t="shared" si="99"/>
        <v>#N/A</v>
      </c>
      <c r="T366" s="46" t="str">
        <f t="shared" si="95"/>
        <v/>
      </c>
      <c r="U366" s="48" t="str">
        <f t="shared" si="96"/>
        <v/>
      </c>
      <c r="W366" s="56">
        <f t="shared" si="87"/>
        <v>0</v>
      </c>
      <c r="X366" s="57" t="str">
        <f t="shared" si="88"/>
        <v/>
      </c>
      <c r="Y366" s="58">
        <f t="shared" si="89"/>
        <v>0</v>
      </c>
      <c r="AA366" s="62" t="str">
        <f t="shared" si="100"/>
        <v/>
      </c>
    </row>
    <row r="367" spans="3:27">
      <c r="C367" s="82"/>
      <c r="E367" s="30" t="str">
        <f t="shared" si="97"/>
        <v>00:00:00</v>
      </c>
      <c r="F367" s="36" t="str">
        <f t="shared" si="90"/>
        <v/>
      </c>
      <c r="G367" s="36">
        <f t="shared" si="91"/>
        <v>0</v>
      </c>
      <c r="H367" s="3" t="str">
        <f t="shared" si="92"/>
        <v/>
      </c>
      <c r="I367" s="3">
        <f t="shared" si="93"/>
        <v>0</v>
      </c>
      <c r="L367" s="35">
        <f t="shared" si="101"/>
        <v>1</v>
      </c>
      <c r="O367" s="27">
        <f t="shared" si="94"/>
        <v>0</v>
      </c>
      <c r="P367" s="3">
        <v>365</v>
      </c>
      <c r="Q367" s="3" t="e">
        <f t="shared" si="98"/>
        <v>#N/A</v>
      </c>
      <c r="R367" s="3" t="e">
        <f t="shared" si="99"/>
        <v>#N/A</v>
      </c>
      <c r="T367" s="46" t="str">
        <f t="shared" si="95"/>
        <v/>
      </c>
      <c r="U367" s="48" t="str">
        <f t="shared" si="96"/>
        <v/>
      </c>
      <c r="W367" s="56">
        <f t="shared" si="87"/>
        <v>0</v>
      </c>
      <c r="X367" s="57" t="str">
        <f t="shared" si="88"/>
        <v/>
      </c>
      <c r="Y367" s="58">
        <f t="shared" si="89"/>
        <v>0</v>
      </c>
      <c r="AA367" s="62" t="str">
        <f t="shared" si="100"/>
        <v/>
      </c>
    </row>
    <row r="368" spans="3:27">
      <c r="C368" s="82"/>
      <c r="E368" s="30" t="str">
        <f t="shared" si="97"/>
        <v>00:00:00</v>
      </c>
      <c r="F368" s="36" t="str">
        <f t="shared" si="90"/>
        <v/>
      </c>
      <c r="G368" s="36">
        <f t="shared" si="91"/>
        <v>0</v>
      </c>
      <c r="H368" s="3" t="str">
        <f t="shared" si="92"/>
        <v/>
      </c>
      <c r="I368" s="3">
        <f t="shared" si="93"/>
        <v>0</v>
      </c>
      <c r="L368" s="35">
        <f t="shared" si="101"/>
        <v>1</v>
      </c>
      <c r="O368" s="27">
        <f t="shared" si="94"/>
        <v>0</v>
      </c>
      <c r="P368" s="3">
        <v>366</v>
      </c>
      <c r="Q368" s="3" t="e">
        <f t="shared" si="98"/>
        <v>#N/A</v>
      </c>
      <c r="R368" s="3" t="e">
        <f t="shared" si="99"/>
        <v>#N/A</v>
      </c>
      <c r="T368" s="46" t="str">
        <f t="shared" si="95"/>
        <v/>
      </c>
      <c r="U368" s="48" t="str">
        <f t="shared" si="96"/>
        <v/>
      </c>
      <c r="W368" s="56">
        <f t="shared" si="87"/>
        <v>0</v>
      </c>
      <c r="X368" s="57" t="str">
        <f t="shared" si="88"/>
        <v/>
      </c>
      <c r="Y368" s="58">
        <f t="shared" si="89"/>
        <v>0</v>
      </c>
      <c r="AA368" s="62" t="str">
        <f t="shared" si="100"/>
        <v/>
      </c>
    </row>
    <row r="369" spans="3:27">
      <c r="C369" s="82"/>
      <c r="E369" s="30" t="str">
        <f t="shared" si="97"/>
        <v>00:00:00</v>
      </c>
      <c r="F369" s="36" t="str">
        <f t="shared" si="90"/>
        <v/>
      </c>
      <c r="G369" s="36">
        <f t="shared" si="91"/>
        <v>0</v>
      </c>
      <c r="H369" s="3" t="str">
        <f t="shared" si="92"/>
        <v/>
      </c>
      <c r="I369" s="3">
        <f t="shared" si="93"/>
        <v>0</v>
      </c>
      <c r="L369" s="35">
        <f t="shared" si="101"/>
        <v>1</v>
      </c>
      <c r="O369" s="27">
        <f t="shared" si="94"/>
        <v>0</v>
      </c>
      <c r="P369" s="3">
        <v>367</v>
      </c>
      <c r="Q369" s="3" t="e">
        <f t="shared" si="98"/>
        <v>#N/A</v>
      </c>
      <c r="R369" s="3" t="e">
        <f t="shared" si="99"/>
        <v>#N/A</v>
      </c>
      <c r="T369" s="46" t="str">
        <f t="shared" si="95"/>
        <v/>
      </c>
      <c r="U369" s="48" t="str">
        <f t="shared" si="96"/>
        <v/>
      </c>
      <c r="W369" s="56">
        <f t="shared" si="87"/>
        <v>0</v>
      </c>
      <c r="X369" s="57" t="str">
        <f t="shared" si="88"/>
        <v/>
      </c>
      <c r="Y369" s="58">
        <f t="shared" si="89"/>
        <v>0</v>
      </c>
      <c r="AA369" s="62" t="str">
        <f t="shared" si="100"/>
        <v/>
      </c>
    </row>
    <row r="370" spans="3:27">
      <c r="C370" s="82"/>
      <c r="E370" s="30" t="str">
        <f t="shared" si="97"/>
        <v>00:00:00</v>
      </c>
      <c r="F370" s="36" t="str">
        <f t="shared" si="90"/>
        <v/>
      </c>
      <c r="G370" s="36">
        <f t="shared" si="91"/>
        <v>0</v>
      </c>
      <c r="H370" s="3" t="str">
        <f t="shared" si="92"/>
        <v/>
      </c>
      <c r="I370" s="3">
        <f t="shared" si="93"/>
        <v>0</v>
      </c>
      <c r="L370" s="35">
        <f t="shared" si="101"/>
        <v>1</v>
      </c>
      <c r="O370" s="27">
        <f t="shared" si="94"/>
        <v>0</v>
      </c>
      <c r="P370" s="3">
        <v>368</v>
      </c>
      <c r="Q370" s="3" t="e">
        <f t="shared" si="98"/>
        <v>#N/A</v>
      </c>
      <c r="R370" s="3" t="e">
        <f t="shared" si="99"/>
        <v>#N/A</v>
      </c>
      <c r="T370" s="46" t="str">
        <f t="shared" si="95"/>
        <v/>
      </c>
      <c r="U370" s="48" t="str">
        <f t="shared" si="96"/>
        <v/>
      </c>
      <c r="W370" s="56">
        <f t="shared" si="87"/>
        <v>0</v>
      </c>
      <c r="X370" s="57" t="str">
        <f t="shared" si="88"/>
        <v/>
      </c>
      <c r="Y370" s="58">
        <f t="shared" si="89"/>
        <v>0</v>
      </c>
      <c r="AA370" s="62" t="str">
        <f t="shared" si="100"/>
        <v/>
      </c>
    </row>
    <row r="371" spans="3:27">
      <c r="C371" s="82"/>
      <c r="E371" s="30" t="str">
        <f t="shared" si="97"/>
        <v>00:00:00</v>
      </c>
      <c r="F371" s="36" t="str">
        <f t="shared" si="90"/>
        <v/>
      </c>
      <c r="G371" s="36">
        <f t="shared" si="91"/>
        <v>0</v>
      </c>
      <c r="H371" s="3" t="str">
        <f t="shared" si="92"/>
        <v/>
      </c>
      <c r="I371" s="3">
        <f t="shared" si="93"/>
        <v>0</v>
      </c>
      <c r="L371" s="35">
        <f t="shared" si="101"/>
        <v>1</v>
      </c>
      <c r="O371" s="27">
        <f t="shared" si="94"/>
        <v>0</v>
      </c>
      <c r="P371" s="3">
        <v>369</v>
      </c>
      <c r="Q371" s="3" t="e">
        <f t="shared" si="98"/>
        <v>#N/A</v>
      </c>
      <c r="R371" s="3" t="e">
        <f t="shared" si="99"/>
        <v>#N/A</v>
      </c>
      <c r="T371" s="46" t="str">
        <f t="shared" si="95"/>
        <v/>
      </c>
      <c r="U371" s="48" t="str">
        <f t="shared" si="96"/>
        <v/>
      </c>
      <c r="W371" s="56">
        <f t="shared" si="87"/>
        <v>0</v>
      </c>
      <c r="X371" s="57" t="str">
        <f t="shared" si="88"/>
        <v/>
      </c>
      <c r="Y371" s="58">
        <f t="shared" si="89"/>
        <v>0</v>
      </c>
      <c r="AA371" s="62" t="str">
        <f t="shared" si="100"/>
        <v/>
      </c>
    </row>
    <row r="372" spans="3:27">
      <c r="C372" s="82"/>
      <c r="E372" s="30" t="str">
        <f t="shared" si="97"/>
        <v>00:00:00</v>
      </c>
      <c r="F372" s="36" t="str">
        <f t="shared" si="90"/>
        <v/>
      </c>
      <c r="G372" s="36">
        <f t="shared" si="91"/>
        <v>0</v>
      </c>
      <c r="H372" s="3" t="str">
        <f t="shared" si="92"/>
        <v/>
      </c>
      <c r="I372" s="3">
        <f t="shared" si="93"/>
        <v>0</v>
      </c>
      <c r="L372" s="35">
        <f t="shared" si="101"/>
        <v>1</v>
      </c>
      <c r="O372" s="27">
        <f t="shared" si="94"/>
        <v>0</v>
      </c>
      <c r="P372" s="3">
        <v>370</v>
      </c>
      <c r="Q372" s="3" t="e">
        <f t="shared" si="98"/>
        <v>#N/A</v>
      </c>
      <c r="R372" s="3" t="e">
        <f t="shared" si="99"/>
        <v>#N/A</v>
      </c>
      <c r="T372" s="46" t="str">
        <f t="shared" si="95"/>
        <v/>
      </c>
      <c r="U372" s="48" t="str">
        <f t="shared" si="96"/>
        <v/>
      </c>
      <c r="W372" s="56">
        <f t="shared" si="87"/>
        <v>0</v>
      </c>
      <c r="X372" s="57" t="str">
        <f t="shared" si="88"/>
        <v/>
      </c>
      <c r="Y372" s="58">
        <f t="shared" si="89"/>
        <v>0</v>
      </c>
      <c r="AA372" s="62" t="str">
        <f t="shared" si="100"/>
        <v/>
      </c>
    </row>
    <row r="373" spans="3:27">
      <c r="C373" s="82"/>
      <c r="E373" s="30" t="str">
        <f t="shared" si="97"/>
        <v>00:00:00</v>
      </c>
      <c r="F373" s="36" t="str">
        <f t="shared" si="90"/>
        <v/>
      </c>
      <c r="G373" s="36">
        <f t="shared" si="91"/>
        <v>0</v>
      </c>
      <c r="H373" s="3" t="str">
        <f t="shared" si="92"/>
        <v/>
      </c>
      <c r="I373" s="3">
        <f t="shared" si="93"/>
        <v>0</v>
      </c>
      <c r="L373" s="35">
        <f t="shared" si="101"/>
        <v>1</v>
      </c>
      <c r="O373" s="27">
        <f t="shared" si="94"/>
        <v>0</v>
      </c>
      <c r="P373" s="3">
        <v>371</v>
      </c>
      <c r="Q373" s="3" t="e">
        <f t="shared" si="98"/>
        <v>#N/A</v>
      </c>
      <c r="R373" s="3" t="e">
        <f t="shared" si="99"/>
        <v>#N/A</v>
      </c>
      <c r="T373" s="46" t="str">
        <f t="shared" si="95"/>
        <v/>
      </c>
      <c r="U373" s="48" t="str">
        <f t="shared" si="96"/>
        <v/>
      </c>
      <c r="W373" s="56">
        <f t="shared" si="87"/>
        <v>0</v>
      </c>
      <c r="X373" s="57" t="str">
        <f t="shared" si="88"/>
        <v/>
      </c>
      <c r="Y373" s="58">
        <f t="shared" si="89"/>
        <v>0</v>
      </c>
      <c r="AA373" s="62" t="str">
        <f t="shared" si="100"/>
        <v/>
      </c>
    </row>
    <row r="374" spans="3:27">
      <c r="C374" s="82"/>
      <c r="E374" s="30" t="str">
        <f t="shared" si="97"/>
        <v>00:00:00</v>
      </c>
      <c r="F374" s="36" t="str">
        <f t="shared" si="90"/>
        <v/>
      </c>
      <c r="G374" s="36">
        <f t="shared" si="91"/>
        <v>0</v>
      </c>
      <c r="H374" s="3" t="str">
        <f t="shared" si="92"/>
        <v/>
      </c>
      <c r="I374" s="3">
        <f t="shared" si="93"/>
        <v>0</v>
      </c>
      <c r="L374" s="35">
        <f t="shared" si="101"/>
        <v>1</v>
      </c>
      <c r="O374" s="27">
        <f t="shared" si="94"/>
        <v>0</v>
      </c>
      <c r="P374" s="3">
        <v>372</v>
      </c>
      <c r="Q374" s="3" t="e">
        <f t="shared" si="98"/>
        <v>#N/A</v>
      </c>
      <c r="R374" s="3" t="e">
        <f t="shared" si="99"/>
        <v>#N/A</v>
      </c>
      <c r="T374" s="46" t="str">
        <f t="shared" si="95"/>
        <v/>
      </c>
      <c r="U374" s="48" t="str">
        <f t="shared" si="96"/>
        <v/>
      </c>
      <c r="W374" s="56">
        <f t="shared" si="87"/>
        <v>0</v>
      </c>
      <c r="X374" s="57" t="str">
        <f t="shared" si="88"/>
        <v/>
      </c>
      <c r="Y374" s="58">
        <f t="shared" si="89"/>
        <v>0</v>
      </c>
      <c r="AA374" s="62" t="str">
        <f t="shared" si="100"/>
        <v/>
      </c>
    </row>
    <row r="375" spans="3:27">
      <c r="C375" s="82"/>
      <c r="E375" s="30" t="str">
        <f t="shared" si="97"/>
        <v>00:00:00</v>
      </c>
      <c r="F375" s="36" t="str">
        <f t="shared" si="90"/>
        <v/>
      </c>
      <c r="G375" s="36">
        <f t="shared" si="91"/>
        <v>0</v>
      </c>
      <c r="H375" s="3" t="str">
        <f t="shared" si="92"/>
        <v/>
      </c>
      <c r="I375" s="3">
        <f t="shared" si="93"/>
        <v>0</v>
      </c>
      <c r="L375" s="35">
        <f t="shared" si="101"/>
        <v>1</v>
      </c>
      <c r="O375" s="27">
        <f t="shared" si="94"/>
        <v>0</v>
      </c>
      <c r="P375" s="3">
        <v>373</v>
      </c>
      <c r="Q375" s="3" t="e">
        <f t="shared" si="98"/>
        <v>#N/A</v>
      </c>
      <c r="R375" s="3" t="e">
        <f t="shared" si="99"/>
        <v>#N/A</v>
      </c>
      <c r="T375" s="46" t="str">
        <f t="shared" si="95"/>
        <v/>
      </c>
      <c r="U375" s="48" t="str">
        <f t="shared" si="96"/>
        <v/>
      </c>
      <c r="W375" s="56">
        <f t="shared" si="87"/>
        <v>0</v>
      </c>
      <c r="X375" s="57" t="str">
        <f t="shared" si="88"/>
        <v/>
      </c>
      <c r="Y375" s="58">
        <f t="shared" si="89"/>
        <v>0</v>
      </c>
      <c r="AA375" s="62" t="str">
        <f t="shared" si="100"/>
        <v/>
      </c>
    </row>
    <row r="376" spans="3:27">
      <c r="C376" s="82"/>
      <c r="E376" s="30" t="str">
        <f t="shared" si="97"/>
        <v>00:00:00</v>
      </c>
      <c r="F376" s="36" t="str">
        <f t="shared" si="90"/>
        <v/>
      </c>
      <c r="G376" s="36">
        <f t="shared" si="91"/>
        <v>0</v>
      </c>
      <c r="H376" s="3" t="str">
        <f t="shared" si="92"/>
        <v/>
      </c>
      <c r="I376" s="3">
        <f t="shared" si="93"/>
        <v>0</v>
      </c>
      <c r="L376" s="35">
        <f t="shared" si="101"/>
        <v>1</v>
      </c>
      <c r="O376" s="27">
        <f t="shared" si="94"/>
        <v>0</v>
      </c>
      <c r="P376" s="3">
        <v>374</v>
      </c>
      <c r="Q376" s="3" t="e">
        <f t="shared" si="98"/>
        <v>#N/A</v>
      </c>
      <c r="R376" s="3" t="e">
        <f t="shared" si="99"/>
        <v>#N/A</v>
      </c>
      <c r="T376" s="46" t="str">
        <f t="shared" si="95"/>
        <v/>
      </c>
      <c r="U376" s="48" t="str">
        <f t="shared" si="96"/>
        <v/>
      </c>
      <c r="W376" s="56">
        <f t="shared" si="87"/>
        <v>0</v>
      </c>
      <c r="X376" s="57" t="str">
        <f t="shared" si="88"/>
        <v/>
      </c>
      <c r="Y376" s="58">
        <f t="shared" si="89"/>
        <v>0</v>
      </c>
      <c r="AA376" s="62" t="str">
        <f t="shared" si="100"/>
        <v/>
      </c>
    </row>
    <row r="377" spans="3:27">
      <c r="C377" s="82"/>
      <c r="E377" s="30" t="str">
        <f t="shared" si="97"/>
        <v>00:00:00</v>
      </c>
      <c r="F377" s="36" t="str">
        <f t="shared" si="90"/>
        <v/>
      </c>
      <c r="G377" s="36">
        <f t="shared" si="91"/>
        <v>0</v>
      </c>
      <c r="H377" s="3" t="str">
        <f t="shared" si="92"/>
        <v/>
      </c>
      <c r="I377" s="3">
        <f t="shared" si="93"/>
        <v>0</v>
      </c>
      <c r="L377" s="35">
        <f t="shared" si="101"/>
        <v>1</v>
      </c>
      <c r="O377" s="27">
        <f t="shared" si="94"/>
        <v>0</v>
      </c>
      <c r="P377" s="3">
        <v>375</v>
      </c>
      <c r="Q377" s="3" t="e">
        <f t="shared" si="98"/>
        <v>#N/A</v>
      </c>
      <c r="R377" s="3" t="e">
        <f t="shared" si="99"/>
        <v>#N/A</v>
      </c>
      <c r="T377" s="46" t="str">
        <f t="shared" si="95"/>
        <v/>
      </c>
      <c r="U377" s="48" t="str">
        <f t="shared" si="96"/>
        <v/>
      </c>
      <c r="W377" s="56">
        <f t="shared" si="87"/>
        <v>0</v>
      </c>
      <c r="X377" s="57" t="str">
        <f t="shared" si="88"/>
        <v/>
      </c>
      <c r="Y377" s="58">
        <f t="shared" si="89"/>
        <v>0</v>
      </c>
      <c r="AA377" s="62" t="str">
        <f t="shared" si="100"/>
        <v/>
      </c>
    </row>
    <row r="378" spans="3:27">
      <c r="C378" s="82"/>
      <c r="E378" s="30" t="str">
        <f t="shared" si="97"/>
        <v>00:00:00</v>
      </c>
      <c r="F378" s="36" t="str">
        <f t="shared" si="90"/>
        <v/>
      </c>
      <c r="G378" s="36">
        <f t="shared" si="91"/>
        <v>0</v>
      </c>
      <c r="H378" s="3" t="str">
        <f t="shared" si="92"/>
        <v/>
      </c>
      <c r="I378" s="3">
        <f t="shared" si="93"/>
        <v>0</v>
      </c>
      <c r="L378" s="35">
        <f t="shared" si="101"/>
        <v>1</v>
      </c>
      <c r="O378" s="27">
        <f t="shared" si="94"/>
        <v>0</v>
      </c>
      <c r="P378" s="3">
        <v>376</v>
      </c>
      <c r="Q378" s="3" t="e">
        <f t="shared" si="98"/>
        <v>#N/A</v>
      </c>
      <c r="R378" s="3" t="e">
        <f t="shared" si="99"/>
        <v>#N/A</v>
      </c>
      <c r="T378" s="46" t="str">
        <f t="shared" si="95"/>
        <v/>
      </c>
      <c r="U378" s="48" t="str">
        <f t="shared" si="96"/>
        <v/>
      </c>
      <c r="W378" s="56">
        <f t="shared" si="87"/>
        <v>0</v>
      </c>
      <c r="X378" s="57" t="str">
        <f t="shared" si="88"/>
        <v/>
      </c>
      <c r="Y378" s="58">
        <f t="shared" si="89"/>
        <v>0</v>
      </c>
      <c r="AA378" s="62" t="str">
        <f t="shared" si="100"/>
        <v/>
      </c>
    </row>
    <row r="379" spans="3:27">
      <c r="C379" s="82"/>
      <c r="E379" s="30" t="str">
        <f t="shared" si="97"/>
        <v>00:00:00</v>
      </c>
      <c r="F379" s="36" t="str">
        <f t="shared" si="90"/>
        <v/>
      </c>
      <c r="G379" s="36">
        <f t="shared" si="91"/>
        <v>0</v>
      </c>
      <c r="H379" s="3" t="str">
        <f t="shared" si="92"/>
        <v/>
      </c>
      <c r="I379" s="3">
        <f t="shared" si="93"/>
        <v>0</v>
      </c>
      <c r="L379" s="35">
        <f t="shared" si="101"/>
        <v>1</v>
      </c>
      <c r="O379" s="27">
        <f t="shared" si="94"/>
        <v>0</v>
      </c>
      <c r="P379" s="3">
        <v>377</v>
      </c>
      <c r="Q379" s="3" t="e">
        <f t="shared" si="98"/>
        <v>#N/A</v>
      </c>
      <c r="R379" s="3" t="e">
        <f t="shared" si="99"/>
        <v>#N/A</v>
      </c>
      <c r="T379" s="46" t="str">
        <f t="shared" si="95"/>
        <v/>
      </c>
      <c r="U379" s="48" t="str">
        <f t="shared" si="96"/>
        <v/>
      </c>
      <c r="W379" s="56">
        <f t="shared" si="87"/>
        <v>0</v>
      </c>
      <c r="X379" s="57" t="str">
        <f t="shared" si="88"/>
        <v/>
      </c>
      <c r="Y379" s="58">
        <f t="shared" si="89"/>
        <v>0</v>
      </c>
      <c r="AA379" s="62" t="str">
        <f t="shared" si="100"/>
        <v/>
      </c>
    </row>
    <row r="380" spans="3:27">
      <c r="C380" s="82"/>
      <c r="E380" s="30" t="str">
        <f t="shared" si="97"/>
        <v>00:00:00</v>
      </c>
      <c r="F380" s="36" t="str">
        <f t="shared" si="90"/>
        <v/>
      </c>
      <c r="G380" s="36">
        <f t="shared" si="91"/>
        <v>0</v>
      </c>
      <c r="H380" s="3" t="str">
        <f t="shared" si="92"/>
        <v/>
      </c>
      <c r="I380" s="3">
        <f t="shared" si="93"/>
        <v>0</v>
      </c>
      <c r="L380" s="35">
        <f t="shared" si="101"/>
        <v>1</v>
      </c>
      <c r="O380" s="27">
        <f t="shared" si="94"/>
        <v>0</v>
      </c>
      <c r="P380" s="3">
        <v>378</v>
      </c>
      <c r="Q380" s="3" t="e">
        <f t="shared" si="98"/>
        <v>#N/A</v>
      </c>
      <c r="R380" s="3" t="e">
        <f t="shared" si="99"/>
        <v>#N/A</v>
      </c>
      <c r="T380" s="46" t="str">
        <f t="shared" si="95"/>
        <v/>
      </c>
      <c r="U380" s="48" t="str">
        <f t="shared" si="96"/>
        <v/>
      </c>
      <c r="W380" s="56">
        <f t="shared" si="87"/>
        <v>0</v>
      </c>
      <c r="X380" s="57" t="str">
        <f t="shared" si="88"/>
        <v/>
      </c>
      <c r="Y380" s="58">
        <f t="shared" si="89"/>
        <v>0</v>
      </c>
      <c r="AA380" s="62" t="str">
        <f t="shared" si="100"/>
        <v/>
      </c>
    </row>
    <row r="381" spans="3:27">
      <c r="C381" s="82"/>
      <c r="E381" s="30" t="str">
        <f t="shared" si="97"/>
        <v>00:00:00</v>
      </c>
      <c r="F381" s="36" t="str">
        <f t="shared" si="90"/>
        <v/>
      </c>
      <c r="G381" s="36">
        <f t="shared" si="91"/>
        <v>0</v>
      </c>
      <c r="H381" s="3" t="str">
        <f t="shared" si="92"/>
        <v/>
      </c>
      <c r="I381" s="3">
        <f t="shared" si="93"/>
        <v>0</v>
      </c>
      <c r="L381" s="35">
        <f t="shared" si="101"/>
        <v>1</v>
      </c>
      <c r="O381" s="27">
        <f t="shared" si="94"/>
        <v>0</v>
      </c>
      <c r="P381" s="3">
        <v>379</v>
      </c>
      <c r="Q381" s="3" t="e">
        <f t="shared" si="98"/>
        <v>#N/A</v>
      </c>
      <c r="R381" s="3" t="e">
        <f t="shared" si="99"/>
        <v>#N/A</v>
      </c>
      <c r="T381" s="46" t="str">
        <f t="shared" si="95"/>
        <v/>
      </c>
      <c r="U381" s="48" t="str">
        <f t="shared" si="96"/>
        <v/>
      </c>
      <c r="W381" s="56">
        <f t="shared" si="87"/>
        <v>0</v>
      </c>
      <c r="X381" s="57" t="str">
        <f t="shared" si="88"/>
        <v/>
      </c>
      <c r="Y381" s="58">
        <f t="shared" si="89"/>
        <v>0</v>
      </c>
      <c r="AA381" s="62" t="str">
        <f t="shared" si="100"/>
        <v/>
      </c>
    </row>
    <row r="382" spans="3:27">
      <c r="C382" s="82"/>
      <c r="E382" s="30" t="str">
        <f t="shared" si="97"/>
        <v>00:00:00</v>
      </c>
      <c r="F382" s="36" t="str">
        <f t="shared" si="90"/>
        <v/>
      </c>
      <c r="G382" s="36">
        <f t="shared" si="91"/>
        <v>0</v>
      </c>
      <c r="H382" s="3" t="str">
        <f t="shared" si="92"/>
        <v/>
      </c>
      <c r="I382" s="3">
        <f t="shared" si="93"/>
        <v>0</v>
      </c>
      <c r="L382" s="35">
        <f t="shared" si="101"/>
        <v>1</v>
      </c>
      <c r="O382" s="27">
        <f t="shared" si="94"/>
        <v>0</v>
      </c>
      <c r="P382" s="3">
        <v>380</v>
      </c>
      <c r="Q382" s="3" t="e">
        <f t="shared" si="98"/>
        <v>#N/A</v>
      </c>
      <c r="R382" s="3" t="e">
        <f t="shared" si="99"/>
        <v>#N/A</v>
      </c>
      <c r="T382" s="46" t="str">
        <f t="shared" si="95"/>
        <v/>
      </c>
      <c r="U382" s="48" t="str">
        <f t="shared" si="96"/>
        <v/>
      </c>
      <c r="W382" s="56">
        <f t="shared" si="87"/>
        <v>0</v>
      </c>
      <c r="X382" s="57" t="str">
        <f t="shared" si="88"/>
        <v/>
      </c>
      <c r="Y382" s="58">
        <f t="shared" si="89"/>
        <v>0</v>
      </c>
      <c r="AA382" s="62" t="str">
        <f t="shared" si="100"/>
        <v/>
      </c>
    </row>
    <row r="383" spans="3:27">
      <c r="C383" s="82"/>
      <c r="E383" s="30" t="str">
        <f t="shared" si="97"/>
        <v>00:00:00</v>
      </c>
      <c r="F383" s="36" t="str">
        <f t="shared" si="90"/>
        <v/>
      </c>
      <c r="G383" s="36">
        <f t="shared" si="91"/>
        <v>0</v>
      </c>
      <c r="H383" s="3" t="str">
        <f t="shared" si="92"/>
        <v/>
      </c>
      <c r="I383" s="3">
        <f t="shared" si="93"/>
        <v>0</v>
      </c>
      <c r="L383" s="35">
        <f t="shared" si="101"/>
        <v>1</v>
      </c>
      <c r="O383" s="27">
        <f t="shared" si="94"/>
        <v>0</v>
      </c>
      <c r="P383" s="3">
        <v>381</v>
      </c>
      <c r="Q383" s="3" t="e">
        <f t="shared" si="98"/>
        <v>#N/A</v>
      </c>
      <c r="R383" s="3" t="e">
        <f t="shared" si="99"/>
        <v>#N/A</v>
      </c>
      <c r="T383" s="46" t="str">
        <f t="shared" si="95"/>
        <v/>
      </c>
      <c r="U383" s="48" t="str">
        <f t="shared" si="96"/>
        <v/>
      </c>
      <c r="W383" s="56">
        <f t="shared" si="87"/>
        <v>0</v>
      </c>
      <c r="X383" s="57" t="str">
        <f t="shared" si="88"/>
        <v/>
      </c>
      <c r="Y383" s="58">
        <f t="shared" si="89"/>
        <v>0</v>
      </c>
      <c r="AA383" s="62" t="str">
        <f t="shared" si="100"/>
        <v/>
      </c>
    </row>
    <row r="384" spans="3:27">
      <c r="C384" s="82"/>
      <c r="E384" s="30" t="str">
        <f t="shared" si="97"/>
        <v>00:00:00</v>
      </c>
      <c r="F384" s="36" t="str">
        <f t="shared" si="90"/>
        <v/>
      </c>
      <c r="G384" s="36">
        <f t="shared" si="91"/>
        <v>0</v>
      </c>
      <c r="H384" s="3" t="str">
        <f t="shared" si="92"/>
        <v/>
      </c>
      <c r="I384" s="3">
        <f t="shared" si="93"/>
        <v>0</v>
      </c>
      <c r="L384" s="35">
        <f t="shared" si="101"/>
        <v>1</v>
      </c>
      <c r="O384" s="27">
        <f t="shared" si="94"/>
        <v>0</v>
      </c>
      <c r="P384" s="3">
        <v>382</v>
      </c>
      <c r="Q384" s="3" t="e">
        <f t="shared" si="98"/>
        <v>#N/A</v>
      </c>
      <c r="R384" s="3" t="e">
        <f t="shared" si="99"/>
        <v>#N/A</v>
      </c>
      <c r="T384" s="46" t="str">
        <f t="shared" si="95"/>
        <v/>
      </c>
      <c r="U384" s="48" t="str">
        <f t="shared" si="96"/>
        <v/>
      </c>
      <c r="W384" s="56">
        <f t="shared" si="87"/>
        <v>0</v>
      </c>
      <c r="X384" s="57" t="str">
        <f t="shared" si="88"/>
        <v/>
      </c>
      <c r="Y384" s="58">
        <f t="shared" si="89"/>
        <v>0</v>
      </c>
      <c r="AA384" s="62" t="str">
        <f t="shared" si="100"/>
        <v/>
      </c>
    </row>
    <row r="385" spans="3:27">
      <c r="C385" s="82"/>
      <c r="E385" s="30" t="str">
        <f t="shared" si="97"/>
        <v>00:00:00</v>
      </c>
      <c r="F385" s="36" t="str">
        <f t="shared" si="90"/>
        <v/>
      </c>
      <c r="G385" s="36">
        <f t="shared" si="91"/>
        <v>0</v>
      </c>
      <c r="H385" s="3" t="str">
        <f t="shared" si="92"/>
        <v/>
      </c>
      <c r="I385" s="3">
        <f t="shared" si="93"/>
        <v>0</v>
      </c>
      <c r="L385" s="35">
        <f t="shared" si="101"/>
        <v>1</v>
      </c>
      <c r="O385" s="27">
        <f t="shared" si="94"/>
        <v>0</v>
      </c>
      <c r="P385" s="3">
        <v>383</v>
      </c>
      <c r="Q385" s="3" t="e">
        <f t="shared" si="98"/>
        <v>#N/A</v>
      </c>
      <c r="R385" s="3" t="e">
        <f t="shared" si="99"/>
        <v>#N/A</v>
      </c>
      <c r="T385" s="46" t="str">
        <f t="shared" si="95"/>
        <v/>
      </c>
      <c r="U385" s="48" t="str">
        <f t="shared" si="96"/>
        <v/>
      </c>
      <c r="W385" s="56">
        <f t="shared" si="87"/>
        <v>0</v>
      </c>
      <c r="X385" s="57" t="str">
        <f t="shared" si="88"/>
        <v/>
      </c>
      <c r="Y385" s="58">
        <f t="shared" si="89"/>
        <v>0</v>
      </c>
      <c r="AA385" s="62" t="str">
        <f t="shared" si="100"/>
        <v/>
      </c>
    </row>
    <row r="386" spans="3:27">
      <c r="C386" s="82"/>
      <c r="E386" s="30" t="str">
        <f t="shared" si="97"/>
        <v>00:00:00</v>
      </c>
      <c r="F386" s="36" t="str">
        <f t="shared" si="90"/>
        <v/>
      </c>
      <c r="G386" s="36">
        <f t="shared" si="91"/>
        <v>0</v>
      </c>
      <c r="H386" s="3" t="str">
        <f t="shared" si="92"/>
        <v/>
      </c>
      <c r="I386" s="3">
        <f t="shared" si="93"/>
        <v>0</v>
      </c>
      <c r="L386" s="35">
        <f t="shared" si="101"/>
        <v>1</v>
      </c>
      <c r="O386" s="27">
        <f t="shared" si="94"/>
        <v>0</v>
      </c>
      <c r="P386" s="3">
        <v>384</v>
      </c>
      <c r="Q386" s="3" t="e">
        <f t="shared" si="98"/>
        <v>#N/A</v>
      </c>
      <c r="R386" s="3" t="e">
        <f t="shared" si="99"/>
        <v>#N/A</v>
      </c>
      <c r="T386" s="46" t="str">
        <f t="shared" si="95"/>
        <v/>
      </c>
      <c r="U386" s="48" t="str">
        <f t="shared" si="96"/>
        <v/>
      </c>
      <c r="W386" s="56">
        <f t="shared" ref="W386:W449" si="102">IF(H386&lt;&gt;H387,1,0)</f>
        <v>0</v>
      </c>
      <c r="X386" s="57" t="str">
        <f t="shared" ref="X386:X449" si="103">IF(W386=1,H386,"")</f>
        <v/>
      </c>
      <c r="Y386" s="58">
        <f t="shared" ref="Y386:Y449" si="104">D386</f>
        <v>0</v>
      </c>
      <c r="AA386" s="62" t="str">
        <f t="shared" si="100"/>
        <v/>
      </c>
    </row>
    <row r="387" spans="3:27">
      <c r="C387" s="82"/>
      <c r="E387" s="30" t="str">
        <f t="shared" si="97"/>
        <v>00:00:00</v>
      </c>
      <c r="F387" s="36" t="str">
        <f t="shared" ref="F387:F450" si="105">IF(G387=0,"",IF(G387&lt;8,1,IF(G387&lt;15,2,IF(G387&lt;22,3,4))))</f>
        <v/>
      </c>
      <c r="G387" s="36">
        <f t="shared" ref="G387:G450" si="106">DAY(B387)</f>
        <v>0</v>
      </c>
      <c r="H387" s="3" t="str">
        <f t="shared" ref="H387:H450" si="107">IF(ISNUMBER(B387),VLOOKUP(MONTH(B387),$J$2:$K$13,2,FALSE),"")</f>
        <v/>
      </c>
      <c r="I387" s="3">
        <f t="shared" ref="I387:I450" si="108">IF(A387&lt;&gt;A388,1,0)</f>
        <v>0</v>
      </c>
      <c r="L387" s="35">
        <f t="shared" si="101"/>
        <v>1</v>
      </c>
      <c r="O387" s="27">
        <f t="shared" ref="O387:O450" si="109">D387</f>
        <v>0</v>
      </c>
      <c r="P387" s="3">
        <v>385</v>
      </c>
      <c r="Q387" s="3" t="e">
        <f t="shared" si="98"/>
        <v>#N/A</v>
      </c>
      <c r="R387" s="3" t="e">
        <f t="shared" si="99"/>
        <v>#N/A</v>
      </c>
      <c r="T387" s="46" t="str">
        <f t="shared" ref="T387:T450" si="110">IFERROR(R387,"")</f>
        <v/>
      </c>
      <c r="U387" s="48" t="str">
        <f t="shared" ref="U387:U450" si="111">IFERROR(Q387,"")</f>
        <v/>
      </c>
      <c r="W387" s="56">
        <f t="shared" si="102"/>
        <v>0</v>
      </c>
      <c r="X387" s="57" t="str">
        <f t="shared" si="103"/>
        <v/>
      </c>
      <c r="Y387" s="58">
        <f t="shared" si="104"/>
        <v>0</v>
      </c>
      <c r="AA387" s="62" t="str">
        <f t="shared" si="100"/>
        <v/>
      </c>
    </row>
    <row r="388" spans="3:27">
      <c r="C388" s="82"/>
      <c r="E388" s="30" t="str">
        <f t="shared" ref="E388:E451" si="112">IF(A388&lt;&gt;A387,TEXT(C388,"hh:mm:ss"),TEXT(C388+E387,"hh:mm:ss"))</f>
        <v>00:00:00</v>
      </c>
      <c r="F388" s="36" t="str">
        <f t="shared" si="105"/>
        <v/>
      </c>
      <c r="G388" s="36">
        <f t="shared" si="106"/>
        <v>0</v>
      </c>
      <c r="H388" s="3" t="str">
        <f t="shared" si="107"/>
        <v/>
      </c>
      <c r="I388" s="3">
        <f t="shared" si="108"/>
        <v>0</v>
      </c>
      <c r="L388" s="35">
        <f t="shared" si="101"/>
        <v>1</v>
      </c>
      <c r="O388" s="27">
        <f t="shared" si="109"/>
        <v>0</v>
      </c>
      <c r="P388" s="3">
        <v>386</v>
      </c>
      <c r="Q388" s="3" t="e">
        <f t="shared" ref="Q388:Q451" si="113">VLOOKUP(P388,M:O,3,FALSE)</f>
        <v>#N/A</v>
      </c>
      <c r="R388" s="3" t="e">
        <f t="shared" ref="R388:R451" si="114">VLOOKUP(P388,M:N,2,FALSE)</f>
        <v>#N/A</v>
      </c>
      <c r="T388" s="46" t="str">
        <f t="shared" si="110"/>
        <v/>
      </c>
      <c r="U388" s="48" t="str">
        <f t="shared" si="111"/>
        <v/>
      </c>
      <c r="W388" s="56">
        <f t="shared" si="102"/>
        <v>0</v>
      </c>
      <c r="X388" s="57" t="str">
        <f t="shared" si="103"/>
        <v/>
      </c>
      <c r="Y388" s="58">
        <f t="shared" si="104"/>
        <v>0</v>
      </c>
      <c r="AA388" s="62" t="str">
        <f t="shared" ref="AA388:AA451" si="115">IFERROR(VLOOKUP(Z388,X:Y,2,FALSE),"")</f>
        <v/>
      </c>
    </row>
    <row r="389" spans="3:27">
      <c r="C389" s="82"/>
      <c r="E389" s="30" t="str">
        <f t="shared" si="112"/>
        <v>00:00:00</v>
      </c>
      <c r="F389" s="36" t="str">
        <f t="shared" si="105"/>
        <v/>
      </c>
      <c r="G389" s="36">
        <f t="shared" si="106"/>
        <v>0</v>
      </c>
      <c r="H389" s="3" t="str">
        <f t="shared" si="107"/>
        <v/>
      </c>
      <c r="I389" s="3">
        <f t="shared" si="108"/>
        <v>0</v>
      </c>
      <c r="L389" s="35">
        <f t="shared" si="101"/>
        <v>1</v>
      </c>
      <c r="O389" s="27">
        <f t="shared" si="109"/>
        <v>0</v>
      </c>
      <c r="P389" s="3">
        <v>387</v>
      </c>
      <c r="Q389" s="3" t="e">
        <f t="shared" si="113"/>
        <v>#N/A</v>
      </c>
      <c r="R389" s="3" t="e">
        <f t="shared" si="114"/>
        <v>#N/A</v>
      </c>
      <c r="T389" s="46" t="str">
        <f t="shared" si="110"/>
        <v/>
      </c>
      <c r="U389" s="48" t="str">
        <f t="shared" si="111"/>
        <v/>
      </c>
      <c r="W389" s="56">
        <f t="shared" si="102"/>
        <v>0</v>
      </c>
      <c r="X389" s="57" t="str">
        <f t="shared" si="103"/>
        <v/>
      </c>
      <c r="Y389" s="58">
        <f t="shared" si="104"/>
        <v>0</v>
      </c>
      <c r="AA389" s="62" t="str">
        <f t="shared" si="115"/>
        <v/>
      </c>
    </row>
    <row r="390" spans="3:27">
      <c r="C390" s="82"/>
      <c r="E390" s="30" t="str">
        <f t="shared" si="112"/>
        <v>00:00:00</v>
      </c>
      <c r="F390" s="36" t="str">
        <f t="shared" si="105"/>
        <v/>
      </c>
      <c r="G390" s="36">
        <f t="shared" si="106"/>
        <v>0</v>
      </c>
      <c r="H390" s="3" t="str">
        <f t="shared" si="107"/>
        <v/>
      </c>
      <c r="I390" s="3">
        <f t="shared" si="108"/>
        <v>0</v>
      </c>
      <c r="L390" s="35">
        <f t="shared" si="101"/>
        <v>1</v>
      </c>
      <c r="O390" s="27">
        <f t="shared" si="109"/>
        <v>0</v>
      </c>
      <c r="P390" s="3">
        <v>388</v>
      </c>
      <c r="Q390" s="3" t="e">
        <f t="shared" si="113"/>
        <v>#N/A</v>
      </c>
      <c r="R390" s="3" t="e">
        <f t="shared" si="114"/>
        <v>#N/A</v>
      </c>
      <c r="T390" s="46" t="str">
        <f t="shared" si="110"/>
        <v/>
      </c>
      <c r="U390" s="48" t="str">
        <f t="shared" si="111"/>
        <v/>
      </c>
      <c r="W390" s="56">
        <f t="shared" si="102"/>
        <v>0</v>
      </c>
      <c r="X390" s="57" t="str">
        <f t="shared" si="103"/>
        <v/>
      </c>
      <c r="Y390" s="58">
        <f t="shared" si="104"/>
        <v>0</v>
      </c>
      <c r="AA390" s="62" t="str">
        <f t="shared" si="115"/>
        <v/>
      </c>
    </row>
    <row r="391" spans="3:27">
      <c r="C391" s="82"/>
      <c r="E391" s="30" t="str">
        <f t="shared" si="112"/>
        <v>00:00:00</v>
      </c>
      <c r="F391" s="36" t="str">
        <f t="shared" si="105"/>
        <v/>
      </c>
      <c r="G391" s="36">
        <f t="shared" si="106"/>
        <v>0</v>
      </c>
      <c r="H391" s="3" t="str">
        <f t="shared" si="107"/>
        <v/>
      </c>
      <c r="I391" s="3">
        <f t="shared" si="108"/>
        <v>0</v>
      </c>
      <c r="L391" s="35">
        <f t="shared" si="101"/>
        <v>1</v>
      </c>
      <c r="O391" s="27">
        <f t="shared" si="109"/>
        <v>0</v>
      </c>
      <c r="P391" s="3">
        <v>389</v>
      </c>
      <c r="Q391" s="3" t="e">
        <f t="shared" si="113"/>
        <v>#N/A</v>
      </c>
      <c r="R391" s="3" t="e">
        <f t="shared" si="114"/>
        <v>#N/A</v>
      </c>
      <c r="T391" s="46" t="str">
        <f t="shared" si="110"/>
        <v/>
      </c>
      <c r="U391" s="48" t="str">
        <f t="shared" si="111"/>
        <v/>
      </c>
      <c r="W391" s="56">
        <f t="shared" si="102"/>
        <v>0</v>
      </c>
      <c r="X391" s="57" t="str">
        <f t="shared" si="103"/>
        <v/>
      </c>
      <c r="Y391" s="58">
        <f t="shared" si="104"/>
        <v>0</v>
      </c>
      <c r="AA391" s="62" t="str">
        <f t="shared" si="115"/>
        <v/>
      </c>
    </row>
    <row r="392" spans="3:27">
      <c r="C392" s="82"/>
      <c r="E392" s="30" t="str">
        <f t="shared" si="112"/>
        <v>00:00:00</v>
      </c>
      <c r="F392" s="36" t="str">
        <f t="shared" si="105"/>
        <v/>
      </c>
      <c r="G392" s="36">
        <f t="shared" si="106"/>
        <v>0</v>
      </c>
      <c r="H392" s="3" t="str">
        <f t="shared" si="107"/>
        <v/>
      </c>
      <c r="I392" s="3">
        <f t="shared" si="108"/>
        <v>0</v>
      </c>
      <c r="L392" s="35">
        <f t="shared" si="101"/>
        <v>1</v>
      </c>
      <c r="O392" s="27">
        <f t="shared" si="109"/>
        <v>0</v>
      </c>
      <c r="P392" s="3">
        <v>390</v>
      </c>
      <c r="Q392" s="3" t="e">
        <f t="shared" si="113"/>
        <v>#N/A</v>
      </c>
      <c r="R392" s="3" t="e">
        <f t="shared" si="114"/>
        <v>#N/A</v>
      </c>
      <c r="T392" s="46" t="str">
        <f t="shared" si="110"/>
        <v/>
      </c>
      <c r="U392" s="48" t="str">
        <f t="shared" si="111"/>
        <v/>
      </c>
      <c r="W392" s="56">
        <f t="shared" si="102"/>
        <v>0</v>
      </c>
      <c r="X392" s="57" t="str">
        <f t="shared" si="103"/>
        <v/>
      </c>
      <c r="Y392" s="58">
        <f t="shared" si="104"/>
        <v>0</v>
      </c>
      <c r="AA392" s="62" t="str">
        <f t="shared" si="115"/>
        <v/>
      </c>
    </row>
    <row r="393" spans="3:27">
      <c r="C393" s="82"/>
      <c r="E393" s="30" t="str">
        <f t="shared" si="112"/>
        <v>00:00:00</v>
      </c>
      <c r="F393" s="36" t="str">
        <f t="shared" si="105"/>
        <v/>
      </c>
      <c r="G393" s="36">
        <f t="shared" si="106"/>
        <v>0</v>
      </c>
      <c r="H393" s="3" t="str">
        <f t="shared" si="107"/>
        <v/>
      </c>
      <c r="I393" s="3">
        <f t="shared" si="108"/>
        <v>0</v>
      </c>
      <c r="L393" s="35">
        <f t="shared" si="101"/>
        <v>1</v>
      </c>
      <c r="O393" s="27">
        <f t="shared" si="109"/>
        <v>0</v>
      </c>
      <c r="P393" s="3">
        <v>391</v>
      </c>
      <c r="Q393" s="3" t="e">
        <f t="shared" si="113"/>
        <v>#N/A</v>
      </c>
      <c r="R393" s="3" t="e">
        <f t="shared" si="114"/>
        <v>#N/A</v>
      </c>
      <c r="T393" s="46" t="str">
        <f t="shared" si="110"/>
        <v/>
      </c>
      <c r="U393" s="48" t="str">
        <f t="shared" si="111"/>
        <v/>
      </c>
      <c r="W393" s="56">
        <f t="shared" si="102"/>
        <v>0</v>
      </c>
      <c r="X393" s="57" t="str">
        <f t="shared" si="103"/>
        <v/>
      </c>
      <c r="Y393" s="58">
        <f t="shared" si="104"/>
        <v>0</v>
      </c>
      <c r="AA393" s="62" t="str">
        <f t="shared" si="115"/>
        <v/>
      </c>
    </row>
    <row r="394" spans="3:27">
      <c r="C394" s="82"/>
      <c r="E394" s="30" t="str">
        <f t="shared" si="112"/>
        <v>00:00:00</v>
      </c>
      <c r="F394" s="36" t="str">
        <f t="shared" si="105"/>
        <v/>
      </c>
      <c r="G394" s="36">
        <f t="shared" si="106"/>
        <v>0</v>
      </c>
      <c r="H394" s="3" t="str">
        <f t="shared" si="107"/>
        <v/>
      </c>
      <c r="I394" s="3">
        <f t="shared" si="108"/>
        <v>0</v>
      </c>
      <c r="L394" s="35">
        <f t="shared" si="101"/>
        <v>1</v>
      </c>
      <c r="O394" s="27">
        <f t="shared" si="109"/>
        <v>0</v>
      </c>
      <c r="P394" s="3">
        <v>392</v>
      </c>
      <c r="Q394" s="3" t="e">
        <f t="shared" si="113"/>
        <v>#N/A</v>
      </c>
      <c r="R394" s="3" t="e">
        <f t="shared" si="114"/>
        <v>#N/A</v>
      </c>
      <c r="T394" s="46" t="str">
        <f t="shared" si="110"/>
        <v/>
      </c>
      <c r="U394" s="48" t="str">
        <f t="shared" si="111"/>
        <v/>
      </c>
      <c r="W394" s="56">
        <f t="shared" si="102"/>
        <v>0</v>
      </c>
      <c r="X394" s="57" t="str">
        <f t="shared" si="103"/>
        <v/>
      </c>
      <c r="Y394" s="58">
        <f t="shared" si="104"/>
        <v>0</v>
      </c>
      <c r="AA394" s="62" t="str">
        <f t="shared" si="115"/>
        <v/>
      </c>
    </row>
    <row r="395" spans="3:27">
      <c r="C395" s="82"/>
      <c r="E395" s="30" t="str">
        <f t="shared" si="112"/>
        <v>00:00:00</v>
      </c>
      <c r="F395" s="36" t="str">
        <f t="shared" si="105"/>
        <v/>
      </c>
      <c r="G395" s="36">
        <f t="shared" si="106"/>
        <v>0</v>
      </c>
      <c r="H395" s="3" t="str">
        <f t="shared" si="107"/>
        <v/>
      </c>
      <c r="I395" s="3">
        <f t="shared" si="108"/>
        <v>0</v>
      </c>
      <c r="L395" s="35">
        <f t="shared" si="101"/>
        <v>1</v>
      </c>
      <c r="O395" s="27">
        <f t="shared" si="109"/>
        <v>0</v>
      </c>
      <c r="P395" s="3">
        <v>393</v>
      </c>
      <c r="Q395" s="3" t="e">
        <f t="shared" si="113"/>
        <v>#N/A</v>
      </c>
      <c r="R395" s="3" t="e">
        <f t="shared" si="114"/>
        <v>#N/A</v>
      </c>
      <c r="T395" s="46" t="str">
        <f t="shared" si="110"/>
        <v/>
      </c>
      <c r="U395" s="48" t="str">
        <f t="shared" si="111"/>
        <v/>
      </c>
      <c r="W395" s="56">
        <f t="shared" si="102"/>
        <v>0</v>
      </c>
      <c r="X395" s="57" t="str">
        <f t="shared" si="103"/>
        <v/>
      </c>
      <c r="Y395" s="58">
        <f t="shared" si="104"/>
        <v>0</v>
      </c>
      <c r="AA395" s="62" t="str">
        <f t="shared" si="115"/>
        <v/>
      </c>
    </row>
    <row r="396" spans="3:27">
      <c r="C396" s="82"/>
      <c r="E396" s="30" t="str">
        <f t="shared" si="112"/>
        <v>00:00:00</v>
      </c>
      <c r="F396" s="36" t="str">
        <f t="shared" si="105"/>
        <v/>
      </c>
      <c r="G396" s="36">
        <f t="shared" si="106"/>
        <v>0</v>
      </c>
      <c r="H396" s="3" t="str">
        <f t="shared" si="107"/>
        <v/>
      </c>
      <c r="I396" s="3">
        <f t="shared" si="108"/>
        <v>0</v>
      </c>
      <c r="L396" s="35">
        <f t="shared" ref="L396:L459" si="116">IF(I395=1,L395+I395,L395)</f>
        <v>1</v>
      </c>
      <c r="O396" s="27">
        <f t="shared" si="109"/>
        <v>0</v>
      </c>
      <c r="P396" s="3">
        <v>394</v>
      </c>
      <c r="Q396" s="3" t="e">
        <f t="shared" si="113"/>
        <v>#N/A</v>
      </c>
      <c r="R396" s="3" t="e">
        <f t="shared" si="114"/>
        <v>#N/A</v>
      </c>
      <c r="T396" s="46" t="str">
        <f t="shared" si="110"/>
        <v/>
      </c>
      <c r="U396" s="48" t="str">
        <f t="shared" si="111"/>
        <v/>
      </c>
      <c r="W396" s="56">
        <f t="shared" si="102"/>
        <v>0</v>
      </c>
      <c r="X396" s="57" t="str">
        <f t="shared" si="103"/>
        <v/>
      </c>
      <c r="Y396" s="58">
        <f t="shared" si="104"/>
        <v>0</v>
      </c>
      <c r="AA396" s="62" t="str">
        <f t="shared" si="115"/>
        <v/>
      </c>
    </row>
    <row r="397" spans="3:27">
      <c r="C397" s="82"/>
      <c r="E397" s="30" t="str">
        <f t="shared" si="112"/>
        <v>00:00:00</v>
      </c>
      <c r="F397" s="36" t="str">
        <f t="shared" si="105"/>
        <v/>
      </c>
      <c r="G397" s="36">
        <f t="shared" si="106"/>
        <v>0</v>
      </c>
      <c r="H397" s="3" t="str">
        <f t="shared" si="107"/>
        <v/>
      </c>
      <c r="I397" s="3">
        <f t="shared" si="108"/>
        <v>0</v>
      </c>
      <c r="L397" s="35">
        <f t="shared" si="116"/>
        <v>1</v>
      </c>
      <c r="O397" s="27">
        <f t="shared" si="109"/>
        <v>0</v>
      </c>
      <c r="P397" s="3">
        <v>395</v>
      </c>
      <c r="Q397" s="3" t="e">
        <f t="shared" si="113"/>
        <v>#N/A</v>
      </c>
      <c r="R397" s="3" t="e">
        <f t="shared" si="114"/>
        <v>#N/A</v>
      </c>
      <c r="T397" s="46" t="str">
        <f t="shared" si="110"/>
        <v/>
      </c>
      <c r="U397" s="48" t="str">
        <f t="shared" si="111"/>
        <v/>
      </c>
      <c r="W397" s="56">
        <f t="shared" si="102"/>
        <v>0</v>
      </c>
      <c r="X397" s="57" t="str">
        <f t="shared" si="103"/>
        <v/>
      </c>
      <c r="Y397" s="58">
        <f t="shared" si="104"/>
        <v>0</v>
      </c>
      <c r="AA397" s="62" t="str">
        <f t="shared" si="115"/>
        <v/>
      </c>
    </row>
    <row r="398" spans="3:27">
      <c r="C398" s="82"/>
      <c r="E398" s="30" t="str">
        <f t="shared" si="112"/>
        <v>00:00:00</v>
      </c>
      <c r="F398" s="36" t="str">
        <f t="shared" si="105"/>
        <v/>
      </c>
      <c r="G398" s="36">
        <f t="shared" si="106"/>
        <v>0</v>
      </c>
      <c r="H398" s="3" t="str">
        <f t="shared" si="107"/>
        <v/>
      </c>
      <c r="I398" s="3">
        <f t="shared" si="108"/>
        <v>0</v>
      </c>
      <c r="L398" s="35">
        <f t="shared" si="116"/>
        <v>1</v>
      </c>
      <c r="O398" s="27">
        <f t="shared" si="109"/>
        <v>0</v>
      </c>
      <c r="P398" s="3">
        <v>396</v>
      </c>
      <c r="Q398" s="3" t="e">
        <f t="shared" si="113"/>
        <v>#N/A</v>
      </c>
      <c r="R398" s="3" t="e">
        <f t="shared" si="114"/>
        <v>#N/A</v>
      </c>
      <c r="T398" s="46" t="str">
        <f t="shared" si="110"/>
        <v/>
      </c>
      <c r="U398" s="48" t="str">
        <f t="shared" si="111"/>
        <v/>
      </c>
      <c r="W398" s="56">
        <f t="shared" si="102"/>
        <v>0</v>
      </c>
      <c r="X398" s="57" t="str">
        <f t="shared" si="103"/>
        <v/>
      </c>
      <c r="Y398" s="58">
        <f t="shared" si="104"/>
        <v>0</v>
      </c>
      <c r="AA398" s="62" t="str">
        <f t="shared" si="115"/>
        <v/>
      </c>
    </row>
    <row r="399" spans="3:27">
      <c r="C399" s="82"/>
      <c r="E399" s="30" t="str">
        <f t="shared" si="112"/>
        <v>00:00:00</v>
      </c>
      <c r="F399" s="36" t="str">
        <f t="shared" si="105"/>
        <v/>
      </c>
      <c r="G399" s="36">
        <f t="shared" si="106"/>
        <v>0</v>
      </c>
      <c r="H399" s="3" t="str">
        <f t="shared" si="107"/>
        <v/>
      </c>
      <c r="I399" s="3">
        <f t="shared" si="108"/>
        <v>0</v>
      </c>
      <c r="L399" s="35">
        <f t="shared" si="116"/>
        <v>1</v>
      </c>
      <c r="O399" s="27">
        <f t="shared" si="109"/>
        <v>0</v>
      </c>
      <c r="P399" s="3">
        <v>397</v>
      </c>
      <c r="Q399" s="3" t="e">
        <f t="shared" si="113"/>
        <v>#N/A</v>
      </c>
      <c r="R399" s="3" t="e">
        <f t="shared" si="114"/>
        <v>#N/A</v>
      </c>
      <c r="T399" s="46" t="str">
        <f t="shared" si="110"/>
        <v/>
      </c>
      <c r="U399" s="48" t="str">
        <f t="shared" si="111"/>
        <v/>
      </c>
      <c r="W399" s="56">
        <f t="shared" si="102"/>
        <v>0</v>
      </c>
      <c r="X399" s="57" t="str">
        <f t="shared" si="103"/>
        <v/>
      </c>
      <c r="Y399" s="58">
        <f t="shared" si="104"/>
        <v>0</v>
      </c>
      <c r="AA399" s="62" t="str">
        <f t="shared" si="115"/>
        <v/>
      </c>
    </row>
    <row r="400" spans="3:27">
      <c r="C400" s="82"/>
      <c r="E400" s="30" t="str">
        <f t="shared" si="112"/>
        <v>00:00:00</v>
      </c>
      <c r="F400" s="36" t="str">
        <f t="shared" si="105"/>
        <v/>
      </c>
      <c r="G400" s="36">
        <f t="shared" si="106"/>
        <v>0</v>
      </c>
      <c r="H400" s="3" t="str">
        <f t="shared" si="107"/>
        <v/>
      </c>
      <c r="I400" s="3">
        <f t="shared" si="108"/>
        <v>0</v>
      </c>
      <c r="L400" s="35">
        <f t="shared" si="116"/>
        <v>1</v>
      </c>
      <c r="O400" s="27">
        <f t="shared" si="109"/>
        <v>0</v>
      </c>
      <c r="P400" s="3">
        <v>398</v>
      </c>
      <c r="Q400" s="3" t="e">
        <f t="shared" si="113"/>
        <v>#N/A</v>
      </c>
      <c r="R400" s="3" t="e">
        <f t="shared" si="114"/>
        <v>#N/A</v>
      </c>
      <c r="T400" s="46" t="str">
        <f t="shared" si="110"/>
        <v/>
      </c>
      <c r="U400" s="48" t="str">
        <f t="shared" si="111"/>
        <v/>
      </c>
      <c r="W400" s="56">
        <f t="shared" si="102"/>
        <v>0</v>
      </c>
      <c r="X400" s="57" t="str">
        <f t="shared" si="103"/>
        <v/>
      </c>
      <c r="Y400" s="58">
        <f t="shared" si="104"/>
        <v>0</v>
      </c>
      <c r="AA400" s="62" t="str">
        <f t="shared" si="115"/>
        <v/>
      </c>
    </row>
    <row r="401" spans="3:27">
      <c r="C401" s="82"/>
      <c r="E401" s="30" t="str">
        <f t="shared" si="112"/>
        <v>00:00:00</v>
      </c>
      <c r="F401" s="36" t="str">
        <f t="shared" si="105"/>
        <v/>
      </c>
      <c r="G401" s="36">
        <f t="shared" si="106"/>
        <v>0</v>
      </c>
      <c r="H401" s="3" t="str">
        <f t="shared" si="107"/>
        <v/>
      </c>
      <c r="I401" s="3">
        <f t="shared" si="108"/>
        <v>0</v>
      </c>
      <c r="L401" s="35">
        <f t="shared" si="116"/>
        <v>1</v>
      </c>
      <c r="O401" s="27">
        <f t="shared" si="109"/>
        <v>0</v>
      </c>
      <c r="P401" s="3">
        <v>399</v>
      </c>
      <c r="Q401" s="3" t="e">
        <f t="shared" si="113"/>
        <v>#N/A</v>
      </c>
      <c r="R401" s="3" t="e">
        <f t="shared" si="114"/>
        <v>#N/A</v>
      </c>
      <c r="T401" s="46" t="str">
        <f t="shared" si="110"/>
        <v/>
      </c>
      <c r="U401" s="48" t="str">
        <f t="shared" si="111"/>
        <v/>
      </c>
      <c r="W401" s="56">
        <f t="shared" si="102"/>
        <v>0</v>
      </c>
      <c r="X401" s="57" t="str">
        <f t="shared" si="103"/>
        <v/>
      </c>
      <c r="Y401" s="58">
        <f t="shared" si="104"/>
        <v>0</v>
      </c>
      <c r="AA401" s="62" t="str">
        <f t="shared" si="115"/>
        <v/>
      </c>
    </row>
    <row r="402" spans="3:27">
      <c r="C402" s="82"/>
      <c r="E402" s="30" t="str">
        <f t="shared" si="112"/>
        <v>00:00:00</v>
      </c>
      <c r="F402" s="36" t="str">
        <f t="shared" si="105"/>
        <v/>
      </c>
      <c r="G402" s="36">
        <f t="shared" si="106"/>
        <v>0</v>
      </c>
      <c r="H402" s="3" t="str">
        <f t="shared" si="107"/>
        <v/>
      </c>
      <c r="I402" s="3">
        <f t="shared" si="108"/>
        <v>0</v>
      </c>
      <c r="L402" s="35">
        <f t="shared" si="116"/>
        <v>1</v>
      </c>
      <c r="O402" s="27">
        <f t="shared" si="109"/>
        <v>0</v>
      </c>
      <c r="P402" s="3">
        <v>400</v>
      </c>
      <c r="Q402" s="3" t="e">
        <f t="shared" si="113"/>
        <v>#N/A</v>
      </c>
      <c r="R402" s="3" t="e">
        <f t="shared" si="114"/>
        <v>#N/A</v>
      </c>
      <c r="T402" s="46" t="str">
        <f t="shared" si="110"/>
        <v/>
      </c>
      <c r="U402" s="48" t="str">
        <f t="shared" si="111"/>
        <v/>
      </c>
      <c r="W402" s="56">
        <f t="shared" si="102"/>
        <v>0</v>
      </c>
      <c r="X402" s="57" t="str">
        <f t="shared" si="103"/>
        <v/>
      </c>
      <c r="Y402" s="58">
        <f t="shared" si="104"/>
        <v>0</v>
      </c>
      <c r="AA402" s="62" t="str">
        <f t="shared" si="115"/>
        <v/>
      </c>
    </row>
    <row r="403" spans="3:27">
      <c r="C403" s="82"/>
      <c r="E403" s="30" t="str">
        <f t="shared" si="112"/>
        <v>00:00:00</v>
      </c>
      <c r="F403" s="36" t="str">
        <f t="shared" si="105"/>
        <v/>
      </c>
      <c r="G403" s="36">
        <f t="shared" si="106"/>
        <v>0</v>
      </c>
      <c r="H403" s="3" t="str">
        <f t="shared" si="107"/>
        <v/>
      </c>
      <c r="I403" s="3">
        <f t="shared" si="108"/>
        <v>0</v>
      </c>
      <c r="L403" s="35">
        <f t="shared" si="116"/>
        <v>1</v>
      </c>
      <c r="O403" s="27">
        <f t="shared" si="109"/>
        <v>0</v>
      </c>
      <c r="P403" s="3">
        <v>401</v>
      </c>
      <c r="Q403" s="3" t="e">
        <f t="shared" si="113"/>
        <v>#N/A</v>
      </c>
      <c r="R403" s="3" t="e">
        <f t="shared" si="114"/>
        <v>#N/A</v>
      </c>
      <c r="T403" s="46" t="str">
        <f t="shared" si="110"/>
        <v/>
      </c>
      <c r="U403" s="48" t="str">
        <f t="shared" si="111"/>
        <v/>
      </c>
      <c r="W403" s="56">
        <f t="shared" si="102"/>
        <v>0</v>
      </c>
      <c r="X403" s="57" t="str">
        <f t="shared" si="103"/>
        <v/>
      </c>
      <c r="Y403" s="58">
        <f t="shared" si="104"/>
        <v>0</v>
      </c>
      <c r="AA403" s="62" t="str">
        <f t="shared" si="115"/>
        <v/>
      </c>
    </row>
    <row r="404" spans="3:27">
      <c r="C404" s="82"/>
      <c r="E404" s="30" t="str">
        <f t="shared" si="112"/>
        <v>00:00:00</v>
      </c>
      <c r="F404" s="36" t="str">
        <f t="shared" si="105"/>
        <v/>
      </c>
      <c r="G404" s="36">
        <f t="shared" si="106"/>
        <v>0</v>
      </c>
      <c r="H404" s="3" t="str">
        <f t="shared" si="107"/>
        <v/>
      </c>
      <c r="I404" s="3">
        <f t="shared" si="108"/>
        <v>0</v>
      </c>
      <c r="L404" s="35">
        <f t="shared" si="116"/>
        <v>1</v>
      </c>
      <c r="O404" s="27">
        <f t="shared" si="109"/>
        <v>0</v>
      </c>
      <c r="P404" s="3">
        <v>402</v>
      </c>
      <c r="Q404" s="3" t="e">
        <f t="shared" si="113"/>
        <v>#N/A</v>
      </c>
      <c r="R404" s="3" t="e">
        <f t="shared" si="114"/>
        <v>#N/A</v>
      </c>
      <c r="T404" s="46" t="str">
        <f t="shared" si="110"/>
        <v/>
      </c>
      <c r="U404" s="48" t="str">
        <f t="shared" si="111"/>
        <v/>
      </c>
      <c r="W404" s="56">
        <f t="shared" si="102"/>
        <v>0</v>
      </c>
      <c r="X404" s="57" t="str">
        <f t="shared" si="103"/>
        <v/>
      </c>
      <c r="Y404" s="58">
        <f t="shared" si="104"/>
        <v>0</v>
      </c>
      <c r="AA404" s="62" t="str">
        <f t="shared" si="115"/>
        <v/>
      </c>
    </row>
    <row r="405" spans="3:27">
      <c r="C405" s="82"/>
      <c r="E405" s="30" t="str">
        <f t="shared" si="112"/>
        <v>00:00:00</v>
      </c>
      <c r="F405" s="36" t="str">
        <f t="shared" si="105"/>
        <v/>
      </c>
      <c r="G405" s="36">
        <f t="shared" si="106"/>
        <v>0</v>
      </c>
      <c r="H405" s="3" t="str">
        <f t="shared" si="107"/>
        <v/>
      </c>
      <c r="I405" s="3">
        <f t="shared" si="108"/>
        <v>0</v>
      </c>
      <c r="L405" s="35">
        <f t="shared" si="116"/>
        <v>1</v>
      </c>
      <c r="O405" s="27">
        <f t="shared" si="109"/>
        <v>0</v>
      </c>
      <c r="P405" s="3">
        <v>403</v>
      </c>
      <c r="Q405" s="3" t="e">
        <f t="shared" si="113"/>
        <v>#N/A</v>
      </c>
      <c r="R405" s="3" t="e">
        <f t="shared" si="114"/>
        <v>#N/A</v>
      </c>
      <c r="T405" s="46" t="str">
        <f t="shared" si="110"/>
        <v/>
      </c>
      <c r="U405" s="48" t="str">
        <f t="shared" si="111"/>
        <v/>
      </c>
      <c r="W405" s="56">
        <f t="shared" si="102"/>
        <v>0</v>
      </c>
      <c r="X405" s="57" t="str">
        <f t="shared" si="103"/>
        <v/>
      </c>
      <c r="Y405" s="58">
        <f t="shared" si="104"/>
        <v>0</v>
      </c>
      <c r="AA405" s="62" t="str">
        <f t="shared" si="115"/>
        <v/>
      </c>
    </row>
    <row r="406" spans="3:27">
      <c r="C406" s="82"/>
      <c r="E406" s="30" t="str">
        <f t="shared" si="112"/>
        <v>00:00:00</v>
      </c>
      <c r="F406" s="36" t="str">
        <f t="shared" si="105"/>
        <v/>
      </c>
      <c r="G406" s="36">
        <f t="shared" si="106"/>
        <v>0</v>
      </c>
      <c r="H406" s="3" t="str">
        <f t="shared" si="107"/>
        <v/>
      </c>
      <c r="I406" s="3">
        <f t="shared" si="108"/>
        <v>0</v>
      </c>
      <c r="L406" s="35">
        <f t="shared" si="116"/>
        <v>1</v>
      </c>
      <c r="O406" s="27">
        <f t="shared" si="109"/>
        <v>0</v>
      </c>
      <c r="P406" s="3">
        <v>404</v>
      </c>
      <c r="Q406" s="3" t="e">
        <f t="shared" si="113"/>
        <v>#N/A</v>
      </c>
      <c r="R406" s="3" t="e">
        <f t="shared" si="114"/>
        <v>#N/A</v>
      </c>
      <c r="T406" s="46" t="str">
        <f t="shared" si="110"/>
        <v/>
      </c>
      <c r="U406" s="48" t="str">
        <f t="shared" si="111"/>
        <v/>
      </c>
      <c r="W406" s="56">
        <f t="shared" si="102"/>
        <v>0</v>
      </c>
      <c r="X406" s="57" t="str">
        <f t="shared" si="103"/>
        <v/>
      </c>
      <c r="Y406" s="58">
        <f t="shared" si="104"/>
        <v>0</v>
      </c>
      <c r="AA406" s="62" t="str">
        <f t="shared" si="115"/>
        <v/>
      </c>
    </row>
    <row r="407" spans="3:27">
      <c r="C407" s="82"/>
      <c r="E407" s="30" t="str">
        <f t="shared" si="112"/>
        <v>00:00:00</v>
      </c>
      <c r="F407" s="36" t="str">
        <f t="shared" si="105"/>
        <v/>
      </c>
      <c r="G407" s="36">
        <f t="shared" si="106"/>
        <v>0</v>
      </c>
      <c r="H407" s="3" t="str">
        <f t="shared" si="107"/>
        <v/>
      </c>
      <c r="I407" s="3">
        <f t="shared" si="108"/>
        <v>0</v>
      </c>
      <c r="L407" s="35">
        <f t="shared" si="116"/>
        <v>1</v>
      </c>
      <c r="O407" s="27">
        <f t="shared" si="109"/>
        <v>0</v>
      </c>
      <c r="P407" s="3">
        <v>405</v>
      </c>
      <c r="Q407" s="3" t="e">
        <f t="shared" si="113"/>
        <v>#N/A</v>
      </c>
      <c r="R407" s="3" t="e">
        <f t="shared" si="114"/>
        <v>#N/A</v>
      </c>
      <c r="T407" s="46" t="str">
        <f t="shared" si="110"/>
        <v/>
      </c>
      <c r="U407" s="48" t="str">
        <f t="shared" si="111"/>
        <v/>
      </c>
      <c r="W407" s="56">
        <f t="shared" si="102"/>
        <v>0</v>
      </c>
      <c r="X407" s="57" t="str">
        <f t="shared" si="103"/>
        <v/>
      </c>
      <c r="Y407" s="58">
        <f t="shared" si="104"/>
        <v>0</v>
      </c>
      <c r="AA407" s="62" t="str">
        <f t="shared" si="115"/>
        <v/>
      </c>
    </row>
    <row r="408" spans="3:27">
      <c r="C408" s="82"/>
      <c r="E408" s="30" t="str">
        <f t="shared" si="112"/>
        <v>00:00:00</v>
      </c>
      <c r="F408" s="36" t="str">
        <f t="shared" si="105"/>
        <v/>
      </c>
      <c r="G408" s="36">
        <f t="shared" si="106"/>
        <v>0</v>
      </c>
      <c r="H408" s="3" t="str">
        <f t="shared" si="107"/>
        <v/>
      </c>
      <c r="I408" s="3">
        <f t="shared" si="108"/>
        <v>0</v>
      </c>
      <c r="L408" s="35">
        <f t="shared" si="116"/>
        <v>1</v>
      </c>
      <c r="O408" s="27">
        <f t="shared" si="109"/>
        <v>0</v>
      </c>
      <c r="P408" s="3">
        <v>406</v>
      </c>
      <c r="Q408" s="3" t="e">
        <f t="shared" si="113"/>
        <v>#N/A</v>
      </c>
      <c r="R408" s="3" t="e">
        <f t="shared" si="114"/>
        <v>#N/A</v>
      </c>
      <c r="T408" s="46" t="str">
        <f t="shared" si="110"/>
        <v/>
      </c>
      <c r="U408" s="48" t="str">
        <f t="shared" si="111"/>
        <v/>
      </c>
      <c r="W408" s="56">
        <f t="shared" si="102"/>
        <v>0</v>
      </c>
      <c r="X408" s="57" t="str">
        <f t="shared" si="103"/>
        <v/>
      </c>
      <c r="Y408" s="58">
        <f t="shared" si="104"/>
        <v>0</v>
      </c>
      <c r="AA408" s="62" t="str">
        <f t="shared" si="115"/>
        <v/>
      </c>
    </row>
    <row r="409" spans="3:27">
      <c r="C409" s="82"/>
      <c r="E409" s="30" t="str">
        <f t="shared" si="112"/>
        <v>00:00:00</v>
      </c>
      <c r="F409" s="36" t="str">
        <f t="shared" si="105"/>
        <v/>
      </c>
      <c r="G409" s="36">
        <f t="shared" si="106"/>
        <v>0</v>
      </c>
      <c r="H409" s="3" t="str">
        <f t="shared" si="107"/>
        <v/>
      </c>
      <c r="I409" s="3">
        <f t="shared" si="108"/>
        <v>0</v>
      </c>
      <c r="L409" s="35">
        <f t="shared" si="116"/>
        <v>1</v>
      </c>
      <c r="O409" s="27">
        <f t="shared" si="109"/>
        <v>0</v>
      </c>
      <c r="P409" s="3">
        <v>407</v>
      </c>
      <c r="Q409" s="3" t="e">
        <f t="shared" si="113"/>
        <v>#N/A</v>
      </c>
      <c r="R409" s="3" t="e">
        <f t="shared" si="114"/>
        <v>#N/A</v>
      </c>
      <c r="T409" s="46" t="str">
        <f t="shared" si="110"/>
        <v/>
      </c>
      <c r="U409" s="48" t="str">
        <f t="shared" si="111"/>
        <v/>
      </c>
      <c r="W409" s="56">
        <f t="shared" si="102"/>
        <v>0</v>
      </c>
      <c r="X409" s="57" t="str">
        <f t="shared" si="103"/>
        <v/>
      </c>
      <c r="Y409" s="58">
        <f t="shared" si="104"/>
        <v>0</v>
      </c>
      <c r="AA409" s="62" t="str">
        <f t="shared" si="115"/>
        <v/>
      </c>
    </row>
    <row r="410" spans="3:27">
      <c r="C410" s="82"/>
      <c r="E410" s="30" t="str">
        <f t="shared" si="112"/>
        <v>00:00:00</v>
      </c>
      <c r="F410" s="36" t="str">
        <f t="shared" si="105"/>
        <v/>
      </c>
      <c r="G410" s="36">
        <f t="shared" si="106"/>
        <v>0</v>
      </c>
      <c r="H410" s="3" t="str">
        <f t="shared" si="107"/>
        <v/>
      </c>
      <c r="I410" s="3">
        <f t="shared" si="108"/>
        <v>0</v>
      </c>
      <c r="L410" s="35">
        <f t="shared" si="116"/>
        <v>1</v>
      </c>
      <c r="O410" s="27">
        <f t="shared" si="109"/>
        <v>0</v>
      </c>
      <c r="P410" s="3">
        <v>408</v>
      </c>
      <c r="Q410" s="3" t="e">
        <f t="shared" si="113"/>
        <v>#N/A</v>
      </c>
      <c r="R410" s="3" t="e">
        <f t="shared" si="114"/>
        <v>#N/A</v>
      </c>
      <c r="T410" s="46" t="str">
        <f t="shared" si="110"/>
        <v/>
      </c>
      <c r="U410" s="48" t="str">
        <f t="shared" si="111"/>
        <v/>
      </c>
      <c r="W410" s="56">
        <f t="shared" si="102"/>
        <v>0</v>
      </c>
      <c r="X410" s="57" t="str">
        <f t="shared" si="103"/>
        <v/>
      </c>
      <c r="Y410" s="58">
        <f t="shared" si="104"/>
        <v>0</v>
      </c>
      <c r="AA410" s="62" t="str">
        <f t="shared" si="115"/>
        <v/>
      </c>
    </row>
    <row r="411" spans="3:27">
      <c r="C411" s="82"/>
      <c r="E411" s="30" t="str">
        <f t="shared" si="112"/>
        <v>00:00:00</v>
      </c>
      <c r="F411" s="36" t="str">
        <f t="shared" si="105"/>
        <v/>
      </c>
      <c r="G411" s="36">
        <f t="shared" si="106"/>
        <v>0</v>
      </c>
      <c r="H411" s="3" t="str">
        <f t="shared" si="107"/>
        <v/>
      </c>
      <c r="I411" s="3">
        <f t="shared" si="108"/>
        <v>0</v>
      </c>
      <c r="L411" s="35">
        <f t="shared" si="116"/>
        <v>1</v>
      </c>
      <c r="O411" s="27">
        <f t="shared" si="109"/>
        <v>0</v>
      </c>
      <c r="P411" s="3">
        <v>409</v>
      </c>
      <c r="Q411" s="3" t="e">
        <f t="shared" si="113"/>
        <v>#N/A</v>
      </c>
      <c r="R411" s="3" t="e">
        <f t="shared" si="114"/>
        <v>#N/A</v>
      </c>
      <c r="T411" s="46" t="str">
        <f t="shared" si="110"/>
        <v/>
      </c>
      <c r="U411" s="48" t="str">
        <f t="shared" si="111"/>
        <v/>
      </c>
      <c r="W411" s="56">
        <f t="shared" si="102"/>
        <v>0</v>
      </c>
      <c r="X411" s="57" t="str">
        <f t="shared" si="103"/>
        <v/>
      </c>
      <c r="Y411" s="58">
        <f t="shared" si="104"/>
        <v>0</v>
      </c>
      <c r="AA411" s="62" t="str">
        <f t="shared" si="115"/>
        <v/>
      </c>
    </row>
    <row r="412" spans="3:27">
      <c r="C412" s="82"/>
      <c r="E412" s="30" t="str">
        <f t="shared" si="112"/>
        <v>00:00:00</v>
      </c>
      <c r="F412" s="36" t="str">
        <f t="shared" si="105"/>
        <v/>
      </c>
      <c r="G412" s="36">
        <f t="shared" si="106"/>
        <v>0</v>
      </c>
      <c r="H412" s="3" t="str">
        <f t="shared" si="107"/>
        <v/>
      </c>
      <c r="I412" s="3">
        <f t="shared" si="108"/>
        <v>0</v>
      </c>
      <c r="L412" s="35">
        <f t="shared" si="116"/>
        <v>1</v>
      </c>
      <c r="O412" s="27">
        <f t="shared" si="109"/>
        <v>0</v>
      </c>
      <c r="P412" s="3">
        <v>410</v>
      </c>
      <c r="Q412" s="3" t="e">
        <f t="shared" si="113"/>
        <v>#N/A</v>
      </c>
      <c r="R412" s="3" t="e">
        <f t="shared" si="114"/>
        <v>#N/A</v>
      </c>
      <c r="T412" s="46" t="str">
        <f t="shared" si="110"/>
        <v/>
      </c>
      <c r="U412" s="48" t="str">
        <f t="shared" si="111"/>
        <v/>
      </c>
      <c r="W412" s="56">
        <f t="shared" si="102"/>
        <v>0</v>
      </c>
      <c r="X412" s="57" t="str">
        <f t="shared" si="103"/>
        <v/>
      </c>
      <c r="Y412" s="58">
        <f t="shared" si="104"/>
        <v>0</v>
      </c>
      <c r="AA412" s="62" t="str">
        <f t="shared" si="115"/>
        <v/>
      </c>
    </row>
    <row r="413" spans="3:27">
      <c r="C413" s="82"/>
      <c r="E413" s="30" t="str">
        <f t="shared" si="112"/>
        <v>00:00:00</v>
      </c>
      <c r="F413" s="36" t="str">
        <f t="shared" si="105"/>
        <v/>
      </c>
      <c r="G413" s="36">
        <f t="shared" si="106"/>
        <v>0</v>
      </c>
      <c r="H413" s="3" t="str">
        <f t="shared" si="107"/>
        <v/>
      </c>
      <c r="I413" s="3">
        <f t="shared" si="108"/>
        <v>0</v>
      </c>
      <c r="L413" s="35">
        <f t="shared" si="116"/>
        <v>1</v>
      </c>
      <c r="O413" s="27">
        <f t="shared" si="109"/>
        <v>0</v>
      </c>
      <c r="P413" s="3">
        <v>411</v>
      </c>
      <c r="Q413" s="3" t="e">
        <f t="shared" si="113"/>
        <v>#N/A</v>
      </c>
      <c r="R413" s="3" t="e">
        <f t="shared" si="114"/>
        <v>#N/A</v>
      </c>
      <c r="T413" s="46" t="str">
        <f t="shared" si="110"/>
        <v/>
      </c>
      <c r="U413" s="48" t="str">
        <f t="shared" si="111"/>
        <v/>
      </c>
      <c r="W413" s="56">
        <f t="shared" si="102"/>
        <v>0</v>
      </c>
      <c r="X413" s="57" t="str">
        <f t="shared" si="103"/>
        <v/>
      </c>
      <c r="Y413" s="58">
        <f t="shared" si="104"/>
        <v>0</v>
      </c>
      <c r="AA413" s="62" t="str">
        <f t="shared" si="115"/>
        <v/>
      </c>
    </row>
    <row r="414" spans="3:27">
      <c r="C414" s="82"/>
      <c r="E414" s="30" t="str">
        <f t="shared" si="112"/>
        <v>00:00:00</v>
      </c>
      <c r="F414" s="36" t="str">
        <f t="shared" si="105"/>
        <v/>
      </c>
      <c r="G414" s="36">
        <f t="shared" si="106"/>
        <v>0</v>
      </c>
      <c r="H414" s="3" t="str">
        <f t="shared" si="107"/>
        <v/>
      </c>
      <c r="I414" s="3">
        <f t="shared" si="108"/>
        <v>0</v>
      </c>
      <c r="L414" s="35">
        <f t="shared" si="116"/>
        <v>1</v>
      </c>
      <c r="O414" s="27">
        <f t="shared" si="109"/>
        <v>0</v>
      </c>
      <c r="P414" s="3">
        <v>412</v>
      </c>
      <c r="Q414" s="3" t="e">
        <f t="shared" si="113"/>
        <v>#N/A</v>
      </c>
      <c r="R414" s="3" t="e">
        <f t="shared" si="114"/>
        <v>#N/A</v>
      </c>
      <c r="T414" s="46" t="str">
        <f t="shared" si="110"/>
        <v/>
      </c>
      <c r="U414" s="48" t="str">
        <f t="shared" si="111"/>
        <v/>
      </c>
      <c r="W414" s="56">
        <f t="shared" si="102"/>
        <v>0</v>
      </c>
      <c r="X414" s="57" t="str">
        <f t="shared" si="103"/>
        <v/>
      </c>
      <c r="Y414" s="58">
        <f t="shared" si="104"/>
        <v>0</v>
      </c>
      <c r="AA414" s="62" t="str">
        <f t="shared" si="115"/>
        <v/>
      </c>
    </row>
    <row r="415" spans="3:27">
      <c r="C415" s="82"/>
      <c r="E415" s="30" t="str">
        <f t="shared" si="112"/>
        <v>00:00:00</v>
      </c>
      <c r="F415" s="36" t="str">
        <f t="shared" si="105"/>
        <v/>
      </c>
      <c r="G415" s="36">
        <f t="shared" si="106"/>
        <v>0</v>
      </c>
      <c r="H415" s="3" t="str">
        <f t="shared" si="107"/>
        <v/>
      </c>
      <c r="I415" s="3">
        <f t="shared" si="108"/>
        <v>0</v>
      </c>
      <c r="L415" s="35">
        <f t="shared" si="116"/>
        <v>1</v>
      </c>
      <c r="O415" s="27">
        <f t="shared" si="109"/>
        <v>0</v>
      </c>
      <c r="P415" s="3">
        <v>413</v>
      </c>
      <c r="Q415" s="3" t="e">
        <f t="shared" si="113"/>
        <v>#N/A</v>
      </c>
      <c r="R415" s="3" t="e">
        <f t="shared" si="114"/>
        <v>#N/A</v>
      </c>
      <c r="T415" s="46" t="str">
        <f t="shared" si="110"/>
        <v/>
      </c>
      <c r="U415" s="48" t="str">
        <f t="shared" si="111"/>
        <v/>
      </c>
      <c r="W415" s="56">
        <f t="shared" si="102"/>
        <v>0</v>
      </c>
      <c r="X415" s="57" t="str">
        <f t="shared" si="103"/>
        <v/>
      </c>
      <c r="Y415" s="58">
        <f t="shared" si="104"/>
        <v>0</v>
      </c>
      <c r="AA415" s="62" t="str">
        <f t="shared" si="115"/>
        <v/>
      </c>
    </row>
    <row r="416" spans="3:27">
      <c r="C416" s="82"/>
      <c r="E416" s="30" t="str">
        <f t="shared" si="112"/>
        <v>00:00:00</v>
      </c>
      <c r="F416" s="36" t="str">
        <f t="shared" si="105"/>
        <v/>
      </c>
      <c r="G416" s="36">
        <f t="shared" si="106"/>
        <v>0</v>
      </c>
      <c r="H416" s="3" t="str">
        <f t="shared" si="107"/>
        <v/>
      </c>
      <c r="I416" s="3">
        <f t="shared" si="108"/>
        <v>0</v>
      </c>
      <c r="L416" s="35">
        <f t="shared" si="116"/>
        <v>1</v>
      </c>
      <c r="O416" s="27">
        <f t="shared" si="109"/>
        <v>0</v>
      </c>
      <c r="P416" s="3">
        <v>414</v>
      </c>
      <c r="Q416" s="3" t="e">
        <f t="shared" si="113"/>
        <v>#N/A</v>
      </c>
      <c r="R416" s="3" t="e">
        <f t="shared" si="114"/>
        <v>#N/A</v>
      </c>
      <c r="T416" s="46" t="str">
        <f t="shared" si="110"/>
        <v/>
      </c>
      <c r="U416" s="48" t="str">
        <f t="shared" si="111"/>
        <v/>
      </c>
      <c r="W416" s="56">
        <f t="shared" si="102"/>
        <v>0</v>
      </c>
      <c r="X416" s="57" t="str">
        <f t="shared" si="103"/>
        <v/>
      </c>
      <c r="Y416" s="58">
        <f t="shared" si="104"/>
        <v>0</v>
      </c>
      <c r="AA416" s="62" t="str">
        <f t="shared" si="115"/>
        <v/>
      </c>
    </row>
    <row r="417" spans="3:27">
      <c r="C417" s="82"/>
      <c r="E417" s="30" t="str">
        <f t="shared" si="112"/>
        <v>00:00:00</v>
      </c>
      <c r="F417" s="36" t="str">
        <f t="shared" si="105"/>
        <v/>
      </c>
      <c r="G417" s="36">
        <f t="shared" si="106"/>
        <v>0</v>
      </c>
      <c r="H417" s="3" t="str">
        <f t="shared" si="107"/>
        <v/>
      </c>
      <c r="I417" s="3">
        <f t="shared" si="108"/>
        <v>0</v>
      </c>
      <c r="L417" s="35">
        <f t="shared" si="116"/>
        <v>1</v>
      </c>
      <c r="O417" s="27">
        <f t="shared" si="109"/>
        <v>0</v>
      </c>
      <c r="P417" s="3">
        <v>415</v>
      </c>
      <c r="Q417" s="3" t="e">
        <f t="shared" si="113"/>
        <v>#N/A</v>
      </c>
      <c r="R417" s="3" t="e">
        <f t="shared" si="114"/>
        <v>#N/A</v>
      </c>
      <c r="T417" s="46" t="str">
        <f t="shared" si="110"/>
        <v/>
      </c>
      <c r="U417" s="48" t="str">
        <f t="shared" si="111"/>
        <v/>
      </c>
      <c r="W417" s="56">
        <f t="shared" si="102"/>
        <v>0</v>
      </c>
      <c r="X417" s="57" t="str">
        <f t="shared" si="103"/>
        <v/>
      </c>
      <c r="Y417" s="58">
        <f t="shared" si="104"/>
        <v>0</v>
      </c>
      <c r="AA417" s="62" t="str">
        <f t="shared" si="115"/>
        <v/>
      </c>
    </row>
    <row r="418" spans="3:27">
      <c r="C418" s="82"/>
      <c r="E418" s="30" t="str">
        <f t="shared" si="112"/>
        <v>00:00:00</v>
      </c>
      <c r="F418" s="36" t="str">
        <f t="shared" si="105"/>
        <v/>
      </c>
      <c r="G418" s="36">
        <f t="shared" si="106"/>
        <v>0</v>
      </c>
      <c r="H418" s="3" t="str">
        <f t="shared" si="107"/>
        <v/>
      </c>
      <c r="I418" s="3">
        <f t="shared" si="108"/>
        <v>0</v>
      </c>
      <c r="L418" s="35">
        <f t="shared" si="116"/>
        <v>1</v>
      </c>
      <c r="O418" s="27">
        <f t="shared" si="109"/>
        <v>0</v>
      </c>
      <c r="P418" s="3">
        <v>416</v>
      </c>
      <c r="Q418" s="3" t="e">
        <f t="shared" si="113"/>
        <v>#N/A</v>
      </c>
      <c r="R418" s="3" t="e">
        <f t="shared" si="114"/>
        <v>#N/A</v>
      </c>
      <c r="T418" s="46" t="str">
        <f t="shared" si="110"/>
        <v/>
      </c>
      <c r="U418" s="48" t="str">
        <f t="shared" si="111"/>
        <v/>
      </c>
      <c r="W418" s="56">
        <f t="shared" si="102"/>
        <v>0</v>
      </c>
      <c r="X418" s="57" t="str">
        <f t="shared" si="103"/>
        <v/>
      </c>
      <c r="Y418" s="58">
        <f t="shared" si="104"/>
        <v>0</v>
      </c>
      <c r="AA418" s="62" t="str">
        <f t="shared" si="115"/>
        <v/>
      </c>
    </row>
    <row r="419" spans="3:27">
      <c r="C419" s="82"/>
      <c r="E419" s="30" t="str">
        <f t="shared" si="112"/>
        <v>00:00:00</v>
      </c>
      <c r="F419" s="36" t="str">
        <f t="shared" si="105"/>
        <v/>
      </c>
      <c r="G419" s="36">
        <f t="shared" si="106"/>
        <v>0</v>
      </c>
      <c r="H419" s="3" t="str">
        <f t="shared" si="107"/>
        <v/>
      </c>
      <c r="I419" s="3">
        <f t="shared" si="108"/>
        <v>0</v>
      </c>
      <c r="L419" s="35">
        <f t="shared" si="116"/>
        <v>1</v>
      </c>
      <c r="O419" s="27">
        <f t="shared" si="109"/>
        <v>0</v>
      </c>
      <c r="P419" s="3">
        <v>417</v>
      </c>
      <c r="Q419" s="3" t="e">
        <f t="shared" si="113"/>
        <v>#N/A</v>
      </c>
      <c r="R419" s="3" t="e">
        <f t="shared" si="114"/>
        <v>#N/A</v>
      </c>
      <c r="T419" s="46" t="str">
        <f t="shared" si="110"/>
        <v/>
      </c>
      <c r="U419" s="48" t="str">
        <f t="shared" si="111"/>
        <v/>
      </c>
      <c r="W419" s="56">
        <f t="shared" si="102"/>
        <v>0</v>
      </c>
      <c r="X419" s="57" t="str">
        <f t="shared" si="103"/>
        <v/>
      </c>
      <c r="Y419" s="58">
        <f t="shared" si="104"/>
        <v>0</v>
      </c>
      <c r="AA419" s="62" t="str">
        <f t="shared" si="115"/>
        <v/>
      </c>
    </row>
    <row r="420" spans="3:27">
      <c r="C420" s="82"/>
      <c r="E420" s="30" t="str">
        <f t="shared" si="112"/>
        <v>00:00:00</v>
      </c>
      <c r="F420" s="36" t="str">
        <f t="shared" si="105"/>
        <v/>
      </c>
      <c r="G420" s="36">
        <f t="shared" si="106"/>
        <v>0</v>
      </c>
      <c r="H420" s="3" t="str">
        <f t="shared" si="107"/>
        <v/>
      </c>
      <c r="I420" s="3">
        <f t="shared" si="108"/>
        <v>0</v>
      </c>
      <c r="L420" s="35">
        <f t="shared" si="116"/>
        <v>1</v>
      </c>
      <c r="O420" s="27">
        <f t="shared" si="109"/>
        <v>0</v>
      </c>
      <c r="P420" s="3">
        <v>418</v>
      </c>
      <c r="Q420" s="3" t="e">
        <f t="shared" si="113"/>
        <v>#N/A</v>
      </c>
      <c r="R420" s="3" t="e">
        <f t="shared" si="114"/>
        <v>#N/A</v>
      </c>
      <c r="T420" s="46" t="str">
        <f t="shared" si="110"/>
        <v/>
      </c>
      <c r="U420" s="48" t="str">
        <f t="shared" si="111"/>
        <v/>
      </c>
      <c r="W420" s="56">
        <f t="shared" si="102"/>
        <v>0</v>
      </c>
      <c r="X420" s="57" t="str">
        <f t="shared" si="103"/>
        <v/>
      </c>
      <c r="Y420" s="58">
        <f t="shared" si="104"/>
        <v>0</v>
      </c>
      <c r="AA420" s="62" t="str">
        <f t="shared" si="115"/>
        <v/>
      </c>
    </row>
    <row r="421" spans="3:27">
      <c r="C421" s="82"/>
      <c r="E421" s="30" t="str">
        <f t="shared" si="112"/>
        <v>00:00:00</v>
      </c>
      <c r="F421" s="36" t="str">
        <f t="shared" si="105"/>
        <v/>
      </c>
      <c r="G421" s="36">
        <f t="shared" si="106"/>
        <v>0</v>
      </c>
      <c r="H421" s="3" t="str">
        <f t="shared" si="107"/>
        <v/>
      </c>
      <c r="I421" s="3">
        <f t="shared" si="108"/>
        <v>0</v>
      </c>
      <c r="L421" s="35">
        <f t="shared" si="116"/>
        <v>1</v>
      </c>
      <c r="O421" s="27">
        <f t="shared" si="109"/>
        <v>0</v>
      </c>
      <c r="P421" s="3">
        <v>419</v>
      </c>
      <c r="Q421" s="3" t="e">
        <f t="shared" si="113"/>
        <v>#N/A</v>
      </c>
      <c r="R421" s="3" t="e">
        <f t="shared" si="114"/>
        <v>#N/A</v>
      </c>
      <c r="T421" s="46" t="str">
        <f t="shared" si="110"/>
        <v/>
      </c>
      <c r="U421" s="48" t="str">
        <f t="shared" si="111"/>
        <v/>
      </c>
      <c r="W421" s="56">
        <f t="shared" si="102"/>
        <v>0</v>
      </c>
      <c r="X421" s="57" t="str">
        <f t="shared" si="103"/>
        <v/>
      </c>
      <c r="Y421" s="58">
        <f t="shared" si="104"/>
        <v>0</v>
      </c>
      <c r="AA421" s="62" t="str">
        <f t="shared" si="115"/>
        <v/>
      </c>
    </row>
    <row r="422" spans="3:27">
      <c r="C422" s="82"/>
      <c r="E422" s="30" t="str">
        <f t="shared" si="112"/>
        <v>00:00:00</v>
      </c>
      <c r="F422" s="36" t="str">
        <f t="shared" si="105"/>
        <v/>
      </c>
      <c r="G422" s="36">
        <f t="shared" si="106"/>
        <v>0</v>
      </c>
      <c r="H422" s="3" t="str">
        <f t="shared" si="107"/>
        <v/>
      </c>
      <c r="I422" s="3">
        <f t="shared" si="108"/>
        <v>0</v>
      </c>
      <c r="L422" s="35">
        <f t="shared" si="116"/>
        <v>1</v>
      </c>
      <c r="O422" s="27">
        <f t="shared" si="109"/>
        <v>0</v>
      </c>
      <c r="P422" s="3">
        <v>420</v>
      </c>
      <c r="Q422" s="3" t="e">
        <f t="shared" si="113"/>
        <v>#N/A</v>
      </c>
      <c r="R422" s="3" t="e">
        <f t="shared" si="114"/>
        <v>#N/A</v>
      </c>
      <c r="T422" s="46" t="str">
        <f t="shared" si="110"/>
        <v/>
      </c>
      <c r="U422" s="48" t="str">
        <f t="shared" si="111"/>
        <v/>
      </c>
      <c r="W422" s="56">
        <f t="shared" si="102"/>
        <v>0</v>
      </c>
      <c r="X422" s="57" t="str">
        <f t="shared" si="103"/>
        <v/>
      </c>
      <c r="Y422" s="58">
        <f t="shared" si="104"/>
        <v>0</v>
      </c>
      <c r="AA422" s="62" t="str">
        <f t="shared" si="115"/>
        <v/>
      </c>
    </row>
    <row r="423" spans="3:27">
      <c r="C423" s="82"/>
      <c r="E423" s="30" t="str">
        <f t="shared" si="112"/>
        <v>00:00:00</v>
      </c>
      <c r="F423" s="36" t="str">
        <f t="shared" si="105"/>
        <v/>
      </c>
      <c r="G423" s="36">
        <f t="shared" si="106"/>
        <v>0</v>
      </c>
      <c r="H423" s="3" t="str">
        <f t="shared" si="107"/>
        <v/>
      </c>
      <c r="I423" s="3">
        <f t="shared" si="108"/>
        <v>0</v>
      </c>
      <c r="L423" s="35">
        <f t="shared" si="116"/>
        <v>1</v>
      </c>
      <c r="O423" s="27">
        <f t="shared" si="109"/>
        <v>0</v>
      </c>
      <c r="P423" s="3">
        <v>421</v>
      </c>
      <c r="Q423" s="3" t="e">
        <f t="shared" si="113"/>
        <v>#N/A</v>
      </c>
      <c r="R423" s="3" t="e">
        <f t="shared" si="114"/>
        <v>#N/A</v>
      </c>
      <c r="T423" s="46" t="str">
        <f t="shared" si="110"/>
        <v/>
      </c>
      <c r="U423" s="48" t="str">
        <f t="shared" si="111"/>
        <v/>
      </c>
      <c r="W423" s="56">
        <f t="shared" si="102"/>
        <v>0</v>
      </c>
      <c r="X423" s="57" t="str">
        <f t="shared" si="103"/>
        <v/>
      </c>
      <c r="Y423" s="58">
        <f t="shared" si="104"/>
        <v>0</v>
      </c>
      <c r="AA423" s="62" t="str">
        <f t="shared" si="115"/>
        <v/>
      </c>
    </row>
    <row r="424" spans="3:27">
      <c r="C424" s="82"/>
      <c r="E424" s="30" t="str">
        <f t="shared" si="112"/>
        <v>00:00:00</v>
      </c>
      <c r="F424" s="36" t="str">
        <f t="shared" si="105"/>
        <v/>
      </c>
      <c r="G424" s="36">
        <f t="shared" si="106"/>
        <v>0</v>
      </c>
      <c r="H424" s="3" t="str">
        <f t="shared" si="107"/>
        <v/>
      </c>
      <c r="I424" s="3">
        <f t="shared" si="108"/>
        <v>0</v>
      </c>
      <c r="L424" s="35">
        <f t="shared" si="116"/>
        <v>1</v>
      </c>
      <c r="O424" s="27">
        <f t="shared" si="109"/>
        <v>0</v>
      </c>
      <c r="P424" s="3">
        <v>422</v>
      </c>
      <c r="Q424" s="3" t="e">
        <f t="shared" si="113"/>
        <v>#N/A</v>
      </c>
      <c r="R424" s="3" t="e">
        <f t="shared" si="114"/>
        <v>#N/A</v>
      </c>
      <c r="T424" s="46" t="str">
        <f t="shared" si="110"/>
        <v/>
      </c>
      <c r="U424" s="48" t="str">
        <f t="shared" si="111"/>
        <v/>
      </c>
      <c r="W424" s="56">
        <f t="shared" si="102"/>
        <v>0</v>
      </c>
      <c r="X424" s="57" t="str">
        <f t="shared" si="103"/>
        <v/>
      </c>
      <c r="Y424" s="58">
        <f t="shared" si="104"/>
        <v>0</v>
      </c>
      <c r="AA424" s="62" t="str">
        <f t="shared" si="115"/>
        <v/>
      </c>
    </row>
    <row r="425" spans="3:27">
      <c r="C425" s="82"/>
      <c r="E425" s="30" t="str">
        <f t="shared" si="112"/>
        <v>00:00:00</v>
      </c>
      <c r="F425" s="36" t="str">
        <f t="shared" si="105"/>
        <v/>
      </c>
      <c r="G425" s="36">
        <f t="shared" si="106"/>
        <v>0</v>
      </c>
      <c r="H425" s="3" t="str">
        <f t="shared" si="107"/>
        <v/>
      </c>
      <c r="I425" s="3">
        <f t="shared" si="108"/>
        <v>0</v>
      </c>
      <c r="L425" s="35">
        <f t="shared" si="116"/>
        <v>1</v>
      </c>
      <c r="O425" s="27">
        <f t="shared" si="109"/>
        <v>0</v>
      </c>
      <c r="P425" s="3">
        <v>423</v>
      </c>
      <c r="Q425" s="3" t="e">
        <f t="shared" si="113"/>
        <v>#N/A</v>
      </c>
      <c r="R425" s="3" t="e">
        <f t="shared" si="114"/>
        <v>#N/A</v>
      </c>
      <c r="T425" s="46" t="str">
        <f t="shared" si="110"/>
        <v/>
      </c>
      <c r="U425" s="48" t="str">
        <f t="shared" si="111"/>
        <v/>
      </c>
      <c r="W425" s="56">
        <f t="shared" si="102"/>
        <v>0</v>
      </c>
      <c r="X425" s="57" t="str">
        <f t="shared" si="103"/>
        <v/>
      </c>
      <c r="Y425" s="58">
        <f t="shared" si="104"/>
        <v>0</v>
      </c>
      <c r="AA425" s="62" t="str">
        <f t="shared" si="115"/>
        <v/>
      </c>
    </row>
    <row r="426" spans="3:27">
      <c r="C426" s="82"/>
      <c r="E426" s="30" t="str">
        <f t="shared" si="112"/>
        <v>00:00:00</v>
      </c>
      <c r="F426" s="36" t="str">
        <f t="shared" si="105"/>
        <v/>
      </c>
      <c r="G426" s="36">
        <f t="shared" si="106"/>
        <v>0</v>
      </c>
      <c r="H426" s="3" t="str">
        <f t="shared" si="107"/>
        <v/>
      </c>
      <c r="I426" s="3">
        <f t="shared" si="108"/>
        <v>0</v>
      </c>
      <c r="L426" s="35">
        <f t="shared" si="116"/>
        <v>1</v>
      </c>
      <c r="O426" s="27">
        <f t="shared" si="109"/>
        <v>0</v>
      </c>
      <c r="P426" s="3">
        <v>424</v>
      </c>
      <c r="Q426" s="3" t="e">
        <f t="shared" si="113"/>
        <v>#N/A</v>
      </c>
      <c r="R426" s="3" t="e">
        <f t="shared" si="114"/>
        <v>#N/A</v>
      </c>
      <c r="T426" s="46" t="str">
        <f t="shared" si="110"/>
        <v/>
      </c>
      <c r="U426" s="48" t="str">
        <f t="shared" si="111"/>
        <v/>
      </c>
      <c r="W426" s="56">
        <f t="shared" si="102"/>
        <v>0</v>
      </c>
      <c r="X426" s="57" t="str">
        <f t="shared" si="103"/>
        <v/>
      </c>
      <c r="Y426" s="58">
        <f t="shared" si="104"/>
        <v>0</v>
      </c>
      <c r="AA426" s="62" t="str">
        <f t="shared" si="115"/>
        <v/>
      </c>
    </row>
    <row r="427" spans="3:27">
      <c r="C427" s="82"/>
      <c r="E427" s="30" t="str">
        <f t="shared" si="112"/>
        <v>00:00:00</v>
      </c>
      <c r="F427" s="36" t="str">
        <f t="shared" si="105"/>
        <v/>
      </c>
      <c r="G427" s="36">
        <f t="shared" si="106"/>
        <v>0</v>
      </c>
      <c r="H427" s="3" t="str">
        <f t="shared" si="107"/>
        <v/>
      </c>
      <c r="I427" s="3">
        <f t="shared" si="108"/>
        <v>0</v>
      </c>
      <c r="L427" s="35">
        <f t="shared" si="116"/>
        <v>1</v>
      </c>
      <c r="O427" s="27">
        <f t="shared" si="109"/>
        <v>0</v>
      </c>
      <c r="P427" s="3">
        <v>425</v>
      </c>
      <c r="Q427" s="3" t="e">
        <f t="shared" si="113"/>
        <v>#N/A</v>
      </c>
      <c r="R427" s="3" t="e">
        <f t="shared" si="114"/>
        <v>#N/A</v>
      </c>
      <c r="T427" s="46" t="str">
        <f t="shared" si="110"/>
        <v/>
      </c>
      <c r="U427" s="48" t="str">
        <f t="shared" si="111"/>
        <v/>
      </c>
      <c r="W427" s="56">
        <f t="shared" si="102"/>
        <v>0</v>
      </c>
      <c r="X427" s="57" t="str">
        <f t="shared" si="103"/>
        <v/>
      </c>
      <c r="Y427" s="58">
        <f t="shared" si="104"/>
        <v>0</v>
      </c>
      <c r="AA427" s="62" t="str">
        <f t="shared" si="115"/>
        <v/>
      </c>
    </row>
    <row r="428" spans="3:27">
      <c r="C428" s="82"/>
      <c r="E428" s="30" t="str">
        <f t="shared" si="112"/>
        <v>00:00:00</v>
      </c>
      <c r="F428" s="36" t="str">
        <f t="shared" si="105"/>
        <v/>
      </c>
      <c r="G428" s="36">
        <f t="shared" si="106"/>
        <v>0</v>
      </c>
      <c r="H428" s="3" t="str">
        <f t="shared" si="107"/>
        <v/>
      </c>
      <c r="I428" s="3">
        <f t="shared" si="108"/>
        <v>0</v>
      </c>
      <c r="L428" s="35">
        <f t="shared" si="116"/>
        <v>1</v>
      </c>
      <c r="O428" s="27">
        <f t="shared" si="109"/>
        <v>0</v>
      </c>
      <c r="P428" s="3">
        <v>426</v>
      </c>
      <c r="Q428" s="3" t="e">
        <f t="shared" si="113"/>
        <v>#N/A</v>
      </c>
      <c r="R428" s="3" t="e">
        <f t="shared" si="114"/>
        <v>#N/A</v>
      </c>
      <c r="T428" s="46" t="str">
        <f t="shared" si="110"/>
        <v/>
      </c>
      <c r="U428" s="48" t="str">
        <f t="shared" si="111"/>
        <v/>
      </c>
      <c r="W428" s="56">
        <f t="shared" si="102"/>
        <v>0</v>
      </c>
      <c r="X428" s="57" t="str">
        <f t="shared" si="103"/>
        <v/>
      </c>
      <c r="Y428" s="58">
        <f t="shared" si="104"/>
        <v>0</v>
      </c>
      <c r="AA428" s="62" t="str">
        <f t="shared" si="115"/>
        <v/>
      </c>
    </row>
    <row r="429" spans="3:27">
      <c r="C429" s="82"/>
      <c r="E429" s="30" t="str">
        <f t="shared" si="112"/>
        <v>00:00:00</v>
      </c>
      <c r="F429" s="36" t="str">
        <f t="shared" si="105"/>
        <v/>
      </c>
      <c r="G429" s="36">
        <f t="shared" si="106"/>
        <v>0</v>
      </c>
      <c r="H429" s="3" t="str">
        <f t="shared" si="107"/>
        <v/>
      </c>
      <c r="I429" s="3">
        <f t="shared" si="108"/>
        <v>0</v>
      </c>
      <c r="L429" s="35">
        <f t="shared" si="116"/>
        <v>1</v>
      </c>
      <c r="O429" s="27">
        <f t="shared" si="109"/>
        <v>0</v>
      </c>
      <c r="P429" s="3">
        <v>427</v>
      </c>
      <c r="Q429" s="3" t="e">
        <f t="shared" si="113"/>
        <v>#N/A</v>
      </c>
      <c r="R429" s="3" t="e">
        <f t="shared" si="114"/>
        <v>#N/A</v>
      </c>
      <c r="T429" s="46" t="str">
        <f t="shared" si="110"/>
        <v/>
      </c>
      <c r="U429" s="48" t="str">
        <f t="shared" si="111"/>
        <v/>
      </c>
      <c r="W429" s="56">
        <f t="shared" si="102"/>
        <v>0</v>
      </c>
      <c r="X429" s="57" t="str">
        <f t="shared" si="103"/>
        <v/>
      </c>
      <c r="Y429" s="58">
        <f t="shared" si="104"/>
        <v>0</v>
      </c>
      <c r="AA429" s="62" t="str">
        <f t="shared" si="115"/>
        <v/>
      </c>
    </row>
    <row r="430" spans="3:27">
      <c r="C430" s="82"/>
      <c r="E430" s="30" t="str">
        <f t="shared" si="112"/>
        <v>00:00:00</v>
      </c>
      <c r="F430" s="36" t="str">
        <f t="shared" si="105"/>
        <v/>
      </c>
      <c r="G430" s="36">
        <f t="shared" si="106"/>
        <v>0</v>
      </c>
      <c r="H430" s="3" t="str">
        <f t="shared" si="107"/>
        <v/>
      </c>
      <c r="I430" s="3">
        <f t="shared" si="108"/>
        <v>0</v>
      </c>
      <c r="L430" s="35">
        <f t="shared" si="116"/>
        <v>1</v>
      </c>
      <c r="O430" s="27">
        <f t="shared" si="109"/>
        <v>0</v>
      </c>
      <c r="P430" s="3">
        <v>428</v>
      </c>
      <c r="Q430" s="3" t="e">
        <f t="shared" si="113"/>
        <v>#N/A</v>
      </c>
      <c r="R430" s="3" t="e">
        <f t="shared" si="114"/>
        <v>#N/A</v>
      </c>
      <c r="T430" s="46" t="str">
        <f t="shared" si="110"/>
        <v/>
      </c>
      <c r="U430" s="48" t="str">
        <f t="shared" si="111"/>
        <v/>
      </c>
      <c r="W430" s="56">
        <f t="shared" si="102"/>
        <v>0</v>
      </c>
      <c r="X430" s="57" t="str">
        <f t="shared" si="103"/>
        <v/>
      </c>
      <c r="Y430" s="58">
        <f t="shared" si="104"/>
        <v>0</v>
      </c>
      <c r="AA430" s="62" t="str">
        <f t="shared" si="115"/>
        <v/>
      </c>
    </row>
    <row r="431" spans="3:27">
      <c r="C431" s="82"/>
      <c r="E431" s="30" t="str">
        <f t="shared" si="112"/>
        <v>00:00:00</v>
      </c>
      <c r="F431" s="36" t="str">
        <f t="shared" si="105"/>
        <v/>
      </c>
      <c r="G431" s="36">
        <f t="shared" si="106"/>
        <v>0</v>
      </c>
      <c r="H431" s="3" t="str">
        <f t="shared" si="107"/>
        <v/>
      </c>
      <c r="I431" s="3">
        <f t="shared" si="108"/>
        <v>0</v>
      </c>
      <c r="L431" s="35">
        <f t="shared" si="116"/>
        <v>1</v>
      </c>
      <c r="O431" s="27">
        <f t="shared" si="109"/>
        <v>0</v>
      </c>
      <c r="P431" s="3">
        <v>429</v>
      </c>
      <c r="Q431" s="3" t="e">
        <f t="shared" si="113"/>
        <v>#N/A</v>
      </c>
      <c r="R431" s="3" t="e">
        <f t="shared" si="114"/>
        <v>#N/A</v>
      </c>
      <c r="T431" s="46" t="str">
        <f t="shared" si="110"/>
        <v/>
      </c>
      <c r="U431" s="48" t="str">
        <f t="shared" si="111"/>
        <v/>
      </c>
      <c r="W431" s="56">
        <f t="shared" si="102"/>
        <v>0</v>
      </c>
      <c r="X431" s="57" t="str">
        <f t="shared" si="103"/>
        <v/>
      </c>
      <c r="Y431" s="58">
        <f t="shared" si="104"/>
        <v>0</v>
      </c>
      <c r="AA431" s="62" t="str">
        <f t="shared" si="115"/>
        <v/>
      </c>
    </row>
    <row r="432" spans="3:27">
      <c r="C432" s="82"/>
      <c r="E432" s="30" t="str">
        <f t="shared" si="112"/>
        <v>00:00:00</v>
      </c>
      <c r="F432" s="36" t="str">
        <f t="shared" si="105"/>
        <v/>
      </c>
      <c r="G432" s="36">
        <f t="shared" si="106"/>
        <v>0</v>
      </c>
      <c r="H432" s="3" t="str">
        <f t="shared" si="107"/>
        <v/>
      </c>
      <c r="I432" s="3">
        <f t="shared" si="108"/>
        <v>0</v>
      </c>
      <c r="L432" s="35">
        <f t="shared" si="116"/>
        <v>1</v>
      </c>
      <c r="O432" s="27">
        <f t="shared" si="109"/>
        <v>0</v>
      </c>
      <c r="P432" s="3">
        <v>430</v>
      </c>
      <c r="Q432" s="3" t="e">
        <f t="shared" si="113"/>
        <v>#N/A</v>
      </c>
      <c r="R432" s="3" t="e">
        <f t="shared" si="114"/>
        <v>#N/A</v>
      </c>
      <c r="T432" s="46" t="str">
        <f t="shared" si="110"/>
        <v/>
      </c>
      <c r="U432" s="48" t="str">
        <f t="shared" si="111"/>
        <v/>
      </c>
      <c r="W432" s="56">
        <f t="shared" si="102"/>
        <v>0</v>
      </c>
      <c r="X432" s="57" t="str">
        <f t="shared" si="103"/>
        <v/>
      </c>
      <c r="Y432" s="58">
        <f t="shared" si="104"/>
        <v>0</v>
      </c>
      <c r="AA432" s="62" t="str">
        <f t="shared" si="115"/>
        <v/>
      </c>
    </row>
    <row r="433" spans="3:27">
      <c r="C433" s="82"/>
      <c r="E433" s="30" t="str">
        <f t="shared" si="112"/>
        <v>00:00:00</v>
      </c>
      <c r="F433" s="36" t="str">
        <f t="shared" si="105"/>
        <v/>
      </c>
      <c r="G433" s="36">
        <f t="shared" si="106"/>
        <v>0</v>
      </c>
      <c r="H433" s="3" t="str">
        <f t="shared" si="107"/>
        <v/>
      </c>
      <c r="I433" s="3">
        <f t="shared" si="108"/>
        <v>0</v>
      </c>
      <c r="L433" s="35">
        <f t="shared" si="116"/>
        <v>1</v>
      </c>
      <c r="O433" s="27">
        <f t="shared" si="109"/>
        <v>0</v>
      </c>
      <c r="P433" s="3">
        <v>431</v>
      </c>
      <c r="Q433" s="3" t="e">
        <f t="shared" si="113"/>
        <v>#N/A</v>
      </c>
      <c r="R433" s="3" t="e">
        <f t="shared" si="114"/>
        <v>#N/A</v>
      </c>
      <c r="T433" s="46" t="str">
        <f t="shared" si="110"/>
        <v/>
      </c>
      <c r="U433" s="48" t="str">
        <f t="shared" si="111"/>
        <v/>
      </c>
      <c r="W433" s="56">
        <f t="shared" si="102"/>
        <v>0</v>
      </c>
      <c r="X433" s="57" t="str">
        <f t="shared" si="103"/>
        <v/>
      </c>
      <c r="Y433" s="58">
        <f t="shared" si="104"/>
        <v>0</v>
      </c>
      <c r="AA433" s="62" t="str">
        <f t="shared" si="115"/>
        <v/>
      </c>
    </row>
    <row r="434" spans="3:27">
      <c r="C434" s="82"/>
      <c r="E434" s="30" t="str">
        <f t="shared" si="112"/>
        <v>00:00:00</v>
      </c>
      <c r="F434" s="36" t="str">
        <f t="shared" si="105"/>
        <v/>
      </c>
      <c r="G434" s="36">
        <f t="shared" si="106"/>
        <v>0</v>
      </c>
      <c r="H434" s="3" t="str">
        <f t="shared" si="107"/>
        <v/>
      </c>
      <c r="I434" s="3">
        <f t="shared" si="108"/>
        <v>0</v>
      </c>
      <c r="L434" s="35">
        <f t="shared" si="116"/>
        <v>1</v>
      </c>
      <c r="O434" s="27">
        <f t="shared" si="109"/>
        <v>0</v>
      </c>
      <c r="P434" s="3">
        <v>432</v>
      </c>
      <c r="Q434" s="3" t="e">
        <f t="shared" si="113"/>
        <v>#N/A</v>
      </c>
      <c r="R434" s="3" t="e">
        <f t="shared" si="114"/>
        <v>#N/A</v>
      </c>
      <c r="T434" s="46" t="str">
        <f t="shared" si="110"/>
        <v/>
      </c>
      <c r="U434" s="48" t="str">
        <f t="shared" si="111"/>
        <v/>
      </c>
      <c r="W434" s="56">
        <f t="shared" si="102"/>
        <v>0</v>
      </c>
      <c r="X434" s="57" t="str">
        <f t="shared" si="103"/>
        <v/>
      </c>
      <c r="Y434" s="58">
        <f t="shared" si="104"/>
        <v>0</v>
      </c>
      <c r="AA434" s="62" t="str">
        <f t="shared" si="115"/>
        <v/>
      </c>
    </row>
    <row r="435" spans="3:27">
      <c r="C435" s="82"/>
      <c r="E435" s="30" t="str">
        <f t="shared" si="112"/>
        <v>00:00:00</v>
      </c>
      <c r="F435" s="36" t="str">
        <f t="shared" si="105"/>
        <v/>
      </c>
      <c r="G435" s="36">
        <f t="shared" si="106"/>
        <v>0</v>
      </c>
      <c r="H435" s="3" t="str">
        <f t="shared" si="107"/>
        <v/>
      </c>
      <c r="I435" s="3">
        <f t="shared" si="108"/>
        <v>0</v>
      </c>
      <c r="L435" s="35">
        <f t="shared" si="116"/>
        <v>1</v>
      </c>
      <c r="O435" s="27">
        <f t="shared" si="109"/>
        <v>0</v>
      </c>
      <c r="P435" s="3">
        <v>433</v>
      </c>
      <c r="Q435" s="3" t="e">
        <f t="shared" si="113"/>
        <v>#N/A</v>
      </c>
      <c r="R435" s="3" t="e">
        <f t="shared" si="114"/>
        <v>#N/A</v>
      </c>
      <c r="T435" s="46" t="str">
        <f t="shared" si="110"/>
        <v/>
      </c>
      <c r="U435" s="48" t="str">
        <f t="shared" si="111"/>
        <v/>
      </c>
      <c r="W435" s="56">
        <f t="shared" si="102"/>
        <v>0</v>
      </c>
      <c r="X435" s="57" t="str">
        <f t="shared" si="103"/>
        <v/>
      </c>
      <c r="Y435" s="58">
        <f t="shared" si="104"/>
        <v>0</v>
      </c>
      <c r="AA435" s="62" t="str">
        <f t="shared" si="115"/>
        <v/>
      </c>
    </row>
    <row r="436" spans="3:27">
      <c r="C436" s="82"/>
      <c r="E436" s="30" t="str">
        <f t="shared" si="112"/>
        <v>00:00:00</v>
      </c>
      <c r="F436" s="36" t="str">
        <f t="shared" si="105"/>
        <v/>
      </c>
      <c r="G436" s="36">
        <f t="shared" si="106"/>
        <v>0</v>
      </c>
      <c r="H436" s="3" t="str">
        <f t="shared" si="107"/>
        <v/>
      </c>
      <c r="I436" s="3">
        <f t="shared" si="108"/>
        <v>0</v>
      </c>
      <c r="L436" s="35">
        <f t="shared" si="116"/>
        <v>1</v>
      </c>
      <c r="O436" s="27">
        <f t="shared" si="109"/>
        <v>0</v>
      </c>
      <c r="P436" s="3">
        <v>434</v>
      </c>
      <c r="Q436" s="3" t="e">
        <f t="shared" si="113"/>
        <v>#N/A</v>
      </c>
      <c r="R436" s="3" t="e">
        <f t="shared" si="114"/>
        <v>#N/A</v>
      </c>
      <c r="T436" s="46" t="str">
        <f t="shared" si="110"/>
        <v/>
      </c>
      <c r="U436" s="48" t="str">
        <f t="shared" si="111"/>
        <v/>
      </c>
      <c r="W436" s="56">
        <f t="shared" si="102"/>
        <v>0</v>
      </c>
      <c r="X436" s="57" t="str">
        <f t="shared" si="103"/>
        <v/>
      </c>
      <c r="Y436" s="58">
        <f t="shared" si="104"/>
        <v>0</v>
      </c>
      <c r="AA436" s="62" t="str">
        <f t="shared" si="115"/>
        <v/>
      </c>
    </row>
    <row r="437" spans="3:27">
      <c r="C437" s="82"/>
      <c r="E437" s="30" t="str">
        <f t="shared" si="112"/>
        <v>00:00:00</v>
      </c>
      <c r="F437" s="36" t="str">
        <f t="shared" si="105"/>
        <v/>
      </c>
      <c r="G437" s="36">
        <f t="shared" si="106"/>
        <v>0</v>
      </c>
      <c r="H437" s="3" t="str">
        <f t="shared" si="107"/>
        <v/>
      </c>
      <c r="I437" s="3">
        <f t="shared" si="108"/>
        <v>0</v>
      </c>
      <c r="L437" s="35">
        <f t="shared" si="116"/>
        <v>1</v>
      </c>
      <c r="O437" s="27">
        <f t="shared" si="109"/>
        <v>0</v>
      </c>
      <c r="P437" s="3">
        <v>435</v>
      </c>
      <c r="Q437" s="3" t="e">
        <f t="shared" si="113"/>
        <v>#N/A</v>
      </c>
      <c r="R437" s="3" t="e">
        <f t="shared" si="114"/>
        <v>#N/A</v>
      </c>
      <c r="T437" s="46" t="str">
        <f t="shared" si="110"/>
        <v/>
      </c>
      <c r="U437" s="48" t="str">
        <f t="shared" si="111"/>
        <v/>
      </c>
      <c r="W437" s="56">
        <f t="shared" si="102"/>
        <v>0</v>
      </c>
      <c r="X437" s="57" t="str">
        <f t="shared" si="103"/>
        <v/>
      </c>
      <c r="Y437" s="58">
        <f t="shared" si="104"/>
        <v>0</v>
      </c>
      <c r="AA437" s="62" t="str">
        <f t="shared" si="115"/>
        <v/>
      </c>
    </row>
    <row r="438" spans="3:27">
      <c r="C438" s="82"/>
      <c r="E438" s="30" t="str">
        <f t="shared" si="112"/>
        <v>00:00:00</v>
      </c>
      <c r="F438" s="36" t="str">
        <f t="shared" si="105"/>
        <v/>
      </c>
      <c r="G438" s="36">
        <f t="shared" si="106"/>
        <v>0</v>
      </c>
      <c r="H438" s="3" t="str">
        <f t="shared" si="107"/>
        <v/>
      </c>
      <c r="I438" s="3">
        <f t="shared" si="108"/>
        <v>0</v>
      </c>
      <c r="L438" s="35">
        <f t="shared" si="116"/>
        <v>1</v>
      </c>
      <c r="O438" s="27">
        <f t="shared" si="109"/>
        <v>0</v>
      </c>
      <c r="P438" s="3">
        <v>436</v>
      </c>
      <c r="Q438" s="3" t="e">
        <f t="shared" si="113"/>
        <v>#N/A</v>
      </c>
      <c r="R438" s="3" t="e">
        <f t="shared" si="114"/>
        <v>#N/A</v>
      </c>
      <c r="T438" s="46" t="str">
        <f t="shared" si="110"/>
        <v/>
      </c>
      <c r="U438" s="48" t="str">
        <f t="shared" si="111"/>
        <v/>
      </c>
      <c r="W438" s="56">
        <f t="shared" si="102"/>
        <v>0</v>
      </c>
      <c r="X438" s="57" t="str">
        <f t="shared" si="103"/>
        <v/>
      </c>
      <c r="Y438" s="58">
        <f t="shared" si="104"/>
        <v>0</v>
      </c>
      <c r="AA438" s="62" t="str">
        <f t="shared" si="115"/>
        <v/>
      </c>
    </row>
    <row r="439" spans="3:27">
      <c r="C439" s="82"/>
      <c r="E439" s="30" t="str">
        <f t="shared" si="112"/>
        <v>00:00:00</v>
      </c>
      <c r="F439" s="36" t="str">
        <f t="shared" si="105"/>
        <v/>
      </c>
      <c r="G439" s="36">
        <f t="shared" si="106"/>
        <v>0</v>
      </c>
      <c r="H439" s="3" t="str">
        <f t="shared" si="107"/>
        <v/>
      </c>
      <c r="I439" s="3">
        <f t="shared" si="108"/>
        <v>0</v>
      </c>
      <c r="L439" s="35">
        <f t="shared" si="116"/>
        <v>1</v>
      </c>
      <c r="O439" s="27">
        <f t="shared" si="109"/>
        <v>0</v>
      </c>
      <c r="P439" s="3">
        <v>437</v>
      </c>
      <c r="Q439" s="3" t="e">
        <f t="shared" si="113"/>
        <v>#N/A</v>
      </c>
      <c r="R439" s="3" t="e">
        <f t="shared" si="114"/>
        <v>#N/A</v>
      </c>
      <c r="T439" s="46" t="str">
        <f t="shared" si="110"/>
        <v/>
      </c>
      <c r="U439" s="48" t="str">
        <f t="shared" si="111"/>
        <v/>
      </c>
      <c r="W439" s="56">
        <f t="shared" si="102"/>
        <v>0</v>
      </c>
      <c r="X439" s="57" t="str">
        <f t="shared" si="103"/>
        <v/>
      </c>
      <c r="Y439" s="58">
        <f t="shared" si="104"/>
        <v>0</v>
      </c>
      <c r="AA439" s="62" t="str">
        <f t="shared" si="115"/>
        <v/>
      </c>
    </row>
    <row r="440" spans="3:27">
      <c r="C440" s="82"/>
      <c r="E440" s="30" t="str">
        <f t="shared" si="112"/>
        <v>00:00:00</v>
      </c>
      <c r="F440" s="36" t="str">
        <f t="shared" si="105"/>
        <v/>
      </c>
      <c r="G440" s="36">
        <f t="shared" si="106"/>
        <v>0</v>
      </c>
      <c r="H440" s="3" t="str">
        <f t="shared" si="107"/>
        <v/>
      </c>
      <c r="I440" s="3">
        <f t="shared" si="108"/>
        <v>0</v>
      </c>
      <c r="L440" s="35">
        <f t="shared" si="116"/>
        <v>1</v>
      </c>
      <c r="O440" s="27">
        <f t="shared" si="109"/>
        <v>0</v>
      </c>
      <c r="P440" s="3">
        <v>438</v>
      </c>
      <c r="Q440" s="3" t="e">
        <f t="shared" si="113"/>
        <v>#N/A</v>
      </c>
      <c r="R440" s="3" t="e">
        <f t="shared" si="114"/>
        <v>#N/A</v>
      </c>
      <c r="T440" s="46" t="str">
        <f t="shared" si="110"/>
        <v/>
      </c>
      <c r="U440" s="48" t="str">
        <f t="shared" si="111"/>
        <v/>
      </c>
      <c r="W440" s="56">
        <f t="shared" si="102"/>
        <v>0</v>
      </c>
      <c r="X440" s="57" t="str">
        <f t="shared" si="103"/>
        <v/>
      </c>
      <c r="Y440" s="58">
        <f t="shared" si="104"/>
        <v>0</v>
      </c>
      <c r="AA440" s="62" t="str">
        <f t="shared" si="115"/>
        <v/>
      </c>
    </row>
    <row r="441" spans="3:27">
      <c r="C441" s="82"/>
      <c r="E441" s="30" t="str">
        <f t="shared" si="112"/>
        <v>00:00:00</v>
      </c>
      <c r="F441" s="36" t="str">
        <f t="shared" si="105"/>
        <v/>
      </c>
      <c r="G441" s="36">
        <f t="shared" si="106"/>
        <v>0</v>
      </c>
      <c r="H441" s="3" t="str">
        <f t="shared" si="107"/>
        <v/>
      </c>
      <c r="I441" s="3">
        <f t="shared" si="108"/>
        <v>0</v>
      </c>
      <c r="L441" s="35">
        <f t="shared" si="116"/>
        <v>1</v>
      </c>
      <c r="O441" s="27">
        <f t="shared" si="109"/>
        <v>0</v>
      </c>
      <c r="P441" s="3">
        <v>439</v>
      </c>
      <c r="Q441" s="3" t="e">
        <f t="shared" si="113"/>
        <v>#N/A</v>
      </c>
      <c r="R441" s="3" t="e">
        <f t="shared" si="114"/>
        <v>#N/A</v>
      </c>
      <c r="T441" s="46" t="str">
        <f t="shared" si="110"/>
        <v/>
      </c>
      <c r="U441" s="48" t="str">
        <f t="shared" si="111"/>
        <v/>
      </c>
      <c r="W441" s="56">
        <f t="shared" si="102"/>
        <v>0</v>
      </c>
      <c r="X441" s="57" t="str">
        <f t="shared" si="103"/>
        <v/>
      </c>
      <c r="Y441" s="58">
        <f t="shared" si="104"/>
        <v>0</v>
      </c>
      <c r="AA441" s="62" t="str">
        <f t="shared" si="115"/>
        <v/>
      </c>
    </row>
    <row r="442" spans="3:27">
      <c r="C442" s="82"/>
      <c r="E442" s="30" t="str">
        <f t="shared" si="112"/>
        <v>00:00:00</v>
      </c>
      <c r="F442" s="36" t="str">
        <f t="shared" si="105"/>
        <v/>
      </c>
      <c r="G442" s="36">
        <f t="shared" si="106"/>
        <v>0</v>
      </c>
      <c r="H442" s="3" t="str">
        <f t="shared" si="107"/>
        <v/>
      </c>
      <c r="I442" s="3">
        <f t="shared" si="108"/>
        <v>0</v>
      </c>
      <c r="L442" s="35">
        <f t="shared" si="116"/>
        <v>1</v>
      </c>
      <c r="O442" s="27">
        <f t="shared" si="109"/>
        <v>0</v>
      </c>
      <c r="P442" s="3">
        <v>440</v>
      </c>
      <c r="Q442" s="3" t="e">
        <f t="shared" si="113"/>
        <v>#N/A</v>
      </c>
      <c r="R442" s="3" t="e">
        <f t="shared" si="114"/>
        <v>#N/A</v>
      </c>
      <c r="T442" s="46" t="str">
        <f t="shared" si="110"/>
        <v/>
      </c>
      <c r="U442" s="48" t="str">
        <f t="shared" si="111"/>
        <v/>
      </c>
      <c r="W442" s="56">
        <f t="shared" si="102"/>
        <v>0</v>
      </c>
      <c r="X442" s="57" t="str">
        <f t="shared" si="103"/>
        <v/>
      </c>
      <c r="Y442" s="58">
        <f t="shared" si="104"/>
        <v>0</v>
      </c>
      <c r="AA442" s="62" t="str">
        <f t="shared" si="115"/>
        <v/>
      </c>
    </row>
    <row r="443" spans="3:27">
      <c r="C443" s="82"/>
      <c r="E443" s="30" t="str">
        <f t="shared" si="112"/>
        <v>00:00:00</v>
      </c>
      <c r="F443" s="36" t="str">
        <f t="shared" si="105"/>
        <v/>
      </c>
      <c r="G443" s="36">
        <f t="shared" si="106"/>
        <v>0</v>
      </c>
      <c r="H443" s="3" t="str">
        <f t="shared" si="107"/>
        <v/>
      </c>
      <c r="I443" s="3">
        <f t="shared" si="108"/>
        <v>0</v>
      </c>
      <c r="L443" s="35">
        <f t="shared" si="116"/>
        <v>1</v>
      </c>
      <c r="O443" s="27">
        <f t="shared" si="109"/>
        <v>0</v>
      </c>
      <c r="P443" s="3">
        <v>441</v>
      </c>
      <c r="Q443" s="3" t="e">
        <f t="shared" si="113"/>
        <v>#N/A</v>
      </c>
      <c r="R443" s="3" t="e">
        <f t="shared" si="114"/>
        <v>#N/A</v>
      </c>
      <c r="T443" s="46" t="str">
        <f t="shared" si="110"/>
        <v/>
      </c>
      <c r="U443" s="48" t="str">
        <f t="shared" si="111"/>
        <v/>
      </c>
      <c r="W443" s="56">
        <f t="shared" si="102"/>
        <v>0</v>
      </c>
      <c r="X443" s="57" t="str">
        <f t="shared" si="103"/>
        <v/>
      </c>
      <c r="Y443" s="58">
        <f t="shared" si="104"/>
        <v>0</v>
      </c>
      <c r="AA443" s="62" t="str">
        <f t="shared" si="115"/>
        <v/>
      </c>
    </row>
    <row r="444" spans="3:27">
      <c r="C444" s="82"/>
      <c r="E444" s="30" t="str">
        <f t="shared" si="112"/>
        <v>00:00:00</v>
      </c>
      <c r="F444" s="36" t="str">
        <f t="shared" si="105"/>
        <v/>
      </c>
      <c r="G444" s="36">
        <f t="shared" si="106"/>
        <v>0</v>
      </c>
      <c r="H444" s="3" t="str">
        <f t="shared" si="107"/>
        <v/>
      </c>
      <c r="I444" s="3">
        <f t="shared" si="108"/>
        <v>0</v>
      </c>
      <c r="L444" s="35">
        <f t="shared" si="116"/>
        <v>1</v>
      </c>
      <c r="O444" s="27">
        <f t="shared" si="109"/>
        <v>0</v>
      </c>
      <c r="P444" s="3">
        <v>442</v>
      </c>
      <c r="Q444" s="3" t="e">
        <f t="shared" si="113"/>
        <v>#N/A</v>
      </c>
      <c r="R444" s="3" t="e">
        <f t="shared" si="114"/>
        <v>#N/A</v>
      </c>
      <c r="T444" s="46" t="str">
        <f t="shared" si="110"/>
        <v/>
      </c>
      <c r="U444" s="48" t="str">
        <f t="shared" si="111"/>
        <v/>
      </c>
      <c r="W444" s="56">
        <f t="shared" si="102"/>
        <v>0</v>
      </c>
      <c r="X444" s="57" t="str">
        <f t="shared" si="103"/>
        <v/>
      </c>
      <c r="Y444" s="58">
        <f t="shared" si="104"/>
        <v>0</v>
      </c>
      <c r="AA444" s="62" t="str">
        <f t="shared" si="115"/>
        <v/>
      </c>
    </row>
    <row r="445" spans="3:27">
      <c r="C445" s="82"/>
      <c r="E445" s="30" t="str">
        <f t="shared" si="112"/>
        <v>00:00:00</v>
      </c>
      <c r="F445" s="36" t="str">
        <f t="shared" si="105"/>
        <v/>
      </c>
      <c r="G445" s="36">
        <f t="shared" si="106"/>
        <v>0</v>
      </c>
      <c r="H445" s="3" t="str">
        <f t="shared" si="107"/>
        <v/>
      </c>
      <c r="I445" s="3">
        <f t="shared" si="108"/>
        <v>0</v>
      </c>
      <c r="L445" s="35">
        <f t="shared" si="116"/>
        <v>1</v>
      </c>
      <c r="O445" s="27">
        <f t="shared" si="109"/>
        <v>0</v>
      </c>
      <c r="P445" s="3">
        <v>443</v>
      </c>
      <c r="Q445" s="3" t="e">
        <f t="shared" si="113"/>
        <v>#N/A</v>
      </c>
      <c r="R445" s="3" t="e">
        <f t="shared" si="114"/>
        <v>#N/A</v>
      </c>
      <c r="T445" s="46" t="str">
        <f t="shared" si="110"/>
        <v/>
      </c>
      <c r="U445" s="48" t="str">
        <f t="shared" si="111"/>
        <v/>
      </c>
      <c r="W445" s="56">
        <f t="shared" si="102"/>
        <v>0</v>
      </c>
      <c r="X445" s="57" t="str">
        <f t="shared" si="103"/>
        <v/>
      </c>
      <c r="Y445" s="58">
        <f t="shared" si="104"/>
        <v>0</v>
      </c>
      <c r="AA445" s="62" t="str">
        <f t="shared" si="115"/>
        <v/>
      </c>
    </row>
    <row r="446" spans="3:27">
      <c r="C446" s="82"/>
      <c r="E446" s="30" t="str">
        <f t="shared" si="112"/>
        <v>00:00:00</v>
      </c>
      <c r="F446" s="36" t="str">
        <f t="shared" si="105"/>
        <v/>
      </c>
      <c r="G446" s="36">
        <f t="shared" si="106"/>
        <v>0</v>
      </c>
      <c r="H446" s="3" t="str">
        <f t="shared" si="107"/>
        <v/>
      </c>
      <c r="I446" s="3">
        <f t="shared" si="108"/>
        <v>0</v>
      </c>
      <c r="L446" s="35">
        <f t="shared" si="116"/>
        <v>1</v>
      </c>
      <c r="O446" s="27">
        <f t="shared" si="109"/>
        <v>0</v>
      </c>
      <c r="P446" s="3">
        <v>444</v>
      </c>
      <c r="Q446" s="3" t="e">
        <f t="shared" si="113"/>
        <v>#N/A</v>
      </c>
      <c r="R446" s="3" t="e">
        <f t="shared" si="114"/>
        <v>#N/A</v>
      </c>
      <c r="T446" s="46" t="str">
        <f t="shared" si="110"/>
        <v/>
      </c>
      <c r="U446" s="48" t="str">
        <f t="shared" si="111"/>
        <v/>
      </c>
      <c r="W446" s="56">
        <f t="shared" si="102"/>
        <v>0</v>
      </c>
      <c r="X446" s="57" t="str">
        <f t="shared" si="103"/>
        <v/>
      </c>
      <c r="Y446" s="58">
        <f t="shared" si="104"/>
        <v>0</v>
      </c>
      <c r="AA446" s="62" t="str">
        <f t="shared" si="115"/>
        <v/>
      </c>
    </row>
    <row r="447" spans="3:27">
      <c r="C447" s="82"/>
      <c r="E447" s="30" t="str">
        <f t="shared" si="112"/>
        <v>00:00:00</v>
      </c>
      <c r="F447" s="36" t="str">
        <f t="shared" si="105"/>
        <v/>
      </c>
      <c r="G447" s="36">
        <f t="shared" si="106"/>
        <v>0</v>
      </c>
      <c r="H447" s="3" t="str">
        <f t="shared" si="107"/>
        <v/>
      </c>
      <c r="I447" s="3">
        <f t="shared" si="108"/>
        <v>0</v>
      </c>
      <c r="L447" s="35">
        <f t="shared" si="116"/>
        <v>1</v>
      </c>
      <c r="O447" s="27">
        <f t="shared" si="109"/>
        <v>0</v>
      </c>
      <c r="P447" s="3">
        <v>445</v>
      </c>
      <c r="Q447" s="3" t="e">
        <f t="shared" si="113"/>
        <v>#N/A</v>
      </c>
      <c r="R447" s="3" t="e">
        <f t="shared" si="114"/>
        <v>#N/A</v>
      </c>
      <c r="T447" s="46" t="str">
        <f t="shared" si="110"/>
        <v/>
      </c>
      <c r="U447" s="48" t="str">
        <f t="shared" si="111"/>
        <v/>
      </c>
      <c r="W447" s="56">
        <f t="shared" si="102"/>
        <v>0</v>
      </c>
      <c r="X447" s="57" t="str">
        <f t="shared" si="103"/>
        <v/>
      </c>
      <c r="Y447" s="58">
        <f t="shared" si="104"/>
        <v>0</v>
      </c>
      <c r="AA447" s="62" t="str">
        <f t="shared" si="115"/>
        <v/>
      </c>
    </row>
    <row r="448" spans="3:27">
      <c r="C448" s="82"/>
      <c r="E448" s="30" t="str">
        <f t="shared" si="112"/>
        <v>00:00:00</v>
      </c>
      <c r="F448" s="36" t="str">
        <f t="shared" si="105"/>
        <v/>
      </c>
      <c r="G448" s="36">
        <f t="shared" si="106"/>
        <v>0</v>
      </c>
      <c r="H448" s="3" t="str">
        <f t="shared" si="107"/>
        <v/>
      </c>
      <c r="I448" s="3">
        <f t="shared" si="108"/>
        <v>0</v>
      </c>
      <c r="L448" s="35">
        <f t="shared" si="116"/>
        <v>1</v>
      </c>
      <c r="O448" s="27">
        <f t="shared" si="109"/>
        <v>0</v>
      </c>
      <c r="P448" s="3">
        <v>446</v>
      </c>
      <c r="Q448" s="3" t="e">
        <f t="shared" si="113"/>
        <v>#N/A</v>
      </c>
      <c r="R448" s="3" t="e">
        <f t="shared" si="114"/>
        <v>#N/A</v>
      </c>
      <c r="T448" s="46" t="str">
        <f t="shared" si="110"/>
        <v/>
      </c>
      <c r="U448" s="48" t="str">
        <f t="shared" si="111"/>
        <v/>
      </c>
      <c r="W448" s="56">
        <f t="shared" si="102"/>
        <v>0</v>
      </c>
      <c r="X448" s="57" t="str">
        <f t="shared" si="103"/>
        <v/>
      </c>
      <c r="Y448" s="58">
        <f t="shared" si="104"/>
        <v>0</v>
      </c>
      <c r="AA448" s="62" t="str">
        <f t="shared" si="115"/>
        <v/>
      </c>
    </row>
    <row r="449" spans="3:27">
      <c r="C449" s="82"/>
      <c r="E449" s="30" t="str">
        <f t="shared" si="112"/>
        <v>00:00:00</v>
      </c>
      <c r="F449" s="36" t="str">
        <f t="shared" si="105"/>
        <v/>
      </c>
      <c r="G449" s="36">
        <f t="shared" si="106"/>
        <v>0</v>
      </c>
      <c r="H449" s="3" t="str">
        <f t="shared" si="107"/>
        <v/>
      </c>
      <c r="I449" s="3">
        <f t="shared" si="108"/>
        <v>0</v>
      </c>
      <c r="L449" s="35">
        <f t="shared" si="116"/>
        <v>1</v>
      </c>
      <c r="O449" s="27">
        <f t="shared" si="109"/>
        <v>0</v>
      </c>
      <c r="P449" s="3">
        <v>447</v>
      </c>
      <c r="Q449" s="3" t="e">
        <f t="shared" si="113"/>
        <v>#N/A</v>
      </c>
      <c r="R449" s="3" t="e">
        <f t="shared" si="114"/>
        <v>#N/A</v>
      </c>
      <c r="T449" s="46" t="str">
        <f t="shared" si="110"/>
        <v/>
      </c>
      <c r="U449" s="48" t="str">
        <f t="shared" si="111"/>
        <v/>
      </c>
      <c r="W449" s="56">
        <f t="shared" si="102"/>
        <v>0</v>
      </c>
      <c r="X449" s="57" t="str">
        <f t="shared" si="103"/>
        <v/>
      </c>
      <c r="Y449" s="58">
        <f t="shared" si="104"/>
        <v>0</v>
      </c>
      <c r="AA449" s="62" t="str">
        <f t="shared" si="115"/>
        <v/>
      </c>
    </row>
    <row r="450" spans="3:27">
      <c r="C450" s="82"/>
      <c r="E450" s="30" t="str">
        <f t="shared" si="112"/>
        <v>00:00:00</v>
      </c>
      <c r="F450" s="36" t="str">
        <f t="shared" si="105"/>
        <v/>
      </c>
      <c r="G450" s="36">
        <f t="shared" si="106"/>
        <v>0</v>
      </c>
      <c r="H450" s="3" t="str">
        <f t="shared" si="107"/>
        <v/>
      </c>
      <c r="I450" s="3">
        <f t="shared" si="108"/>
        <v>0</v>
      </c>
      <c r="L450" s="35">
        <f t="shared" si="116"/>
        <v>1</v>
      </c>
      <c r="O450" s="27">
        <f t="shared" si="109"/>
        <v>0</v>
      </c>
      <c r="P450" s="3">
        <v>448</v>
      </c>
      <c r="Q450" s="3" t="e">
        <f t="shared" si="113"/>
        <v>#N/A</v>
      </c>
      <c r="R450" s="3" t="e">
        <f t="shared" si="114"/>
        <v>#N/A</v>
      </c>
      <c r="T450" s="46" t="str">
        <f t="shared" si="110"/>
        <v/>
      </c>
      <c r="U450" s="48" t="str">
        <f t="shared" si="111"/>
        <v/>
      </c>
      <c r="W450" s="56">
        <f t="shared" ref="W450:W513" si="117">IF(H450&lt;&gt;H451,1,0)</f>
        <v>0</v>
      </c>
      <c r="X450" s="57" t="str">
        <f t="shared" ref="X450:X513" si="118">IF(W450=1,H450,"")</f>
        <v/>
      </c>
      <c r="Y450" s="58">
        <f t="shared" ref="Y450:Y513" si="119">D450</f>
        <v>0</v>
      </c>
      <c r="AA450" s="62" t="str">
        <f t="shared" si="115"/>
        <v/>
      </c>
    </row>
    <row r="451" spans="3:27">
      <c r="C451" s="82"/>
      <c r="E451" s="30" t="str">
        <f t="shared" si="112"/>
        <v>00:00:00</v>
      </c>
      <c r="F451" s="36" t="str">
        <f t="shared" ref="F451:F514" si="120">IF(G451=0,"",IF(G451&lt;8,1,IF(G451&lt;15,2,IF(G451&lt;22,3,4))))</f>
        <v/>
      </c>
      <c r="G451" s="36">
        <f t="shared" ref="G451:G514" si="121">DAY(B451)</f>
        <v>0</v>
      </c>
      <c r="H451" s="3" t="str">
        <f t="shared" ref="H451:H514" si="122">IF(ISNUMBER(B451),VLOOKUP(MONTH(B451),$J$2:$K$13,2,FALSE),"")</f>
        <v/>
      </c>
      <c r="I451" s="3">
        <f t="shared" ref="I451:I514" si="123">IF(A451&lt;&gt;A452,1,0)</f>
        <v>0</v>
      </c>
      <c r="L451" s="35">
        <f t="shared" si="116"/>
        <v>1</v>
      </c>
      <c r="O451" s="27">
        <f t="shared" ref="O451:O514" si="124">D451</f>
        <v>0</v>
      </c>
      <c r="P451" s="3">
        <v>449</v>
      </c>
      <c r="Q451" s="3" t="e">
        <f t="shared" si="113"/>
        <v>#N/A</v>
      </c>
      <c r="R451" s="3" t="e">
        <f t="shared" si="114"/>
        <v>#N/A</v>
      </c>
      <c r="T451" s="46" t="str">
        <f t="shared" ref="T451:T514" si="125">IFERROR(R451,"")</f>
        <v/>
      </c>
      <c r="U451" s="48" t="str">
        <f t="shared" ref="U451:U514" si="126">IFERROR(Q451,"")</f>
        <v/>
      </c>
      <c r="W451" s="56">
        <f t="shared" si="117"/>
        <v>0</v>
      </c>
      <c r="X451" s="57" t="str">
        <f t="shared" si="118"/>
        <v/>
      </c>
      <c r="Y451" s="58">
        <f t="shared" si="119"/>
        <v>0</v>
      </c>
      <c r="AA451" s="62" t="str">
        <f t="shared" si="115"/>
        <v/>
      </c>
    </row>
    <row r="452" spans="3:27">
      <c r="C452" s="82"/>
      <c r="E452" s="30" t="str">
        <f t="shared" ref="E452:E515" si="127">IF(A452&lt;&gt;A451,TEXT(C452,"hh:mm:ss"),TEXT(C452+E451,"hh:mm:ss"))</f>
        <v>00:00:00</v>
      </c>
      <c r="F452" s="36" t="str">
        <f t="shared" si="120"/>
        <v/>
      </c>
      <c r="G452" s="36">
        <f t="shared" si="121"/>
        <v>0</v>
      </c>
      <c r="H452" s="3" t="str">
        <f t="shared" si="122"/>
        <v/>
      </c>
      <c r="I452" s="3">
        <f t="shared" si="123"/>
        <v>0</v>
      </c>
      <c r="L452" s="35">
        <f t="shared" si="116"/>
        <v>1</v>
      </c>
      <c r="O452" s="27">
        <f t="shared" si="124"/>
        <v>0</v>
      </c>
      <c r="P452" s="3">
        <v>450</v>
      </c>
      <c r="Q452" s="3" t="e">
        <f t="shared" ref="Q452:Q515" si="128">VLOOKUP(P452,M:O,3,FALSE)</f>
        <v>#N/A</v>
      </c>
      <c r="R452" s="3" t="e">
        <f t="shared" ref="R452:R515" si="129">VLOOKUP(P452,M:N,2,FALSE)</f>
        <v>#N/A</v>
      </c>
      <c r="T452" s="46" t="str">
        <f t="shared" si="125"/>
        <v/>
      </c>
      <c r="U452" s="48" t="str">
        <f t="shared" si="126"/>
        <v/>
      </c>
      <c r="W452" s="56">
        <f t="shared" si="117"/>
        <v>0</v>
      </c>
      <c r="X452" s="57" t="str">
        <f t="shared" si="118"/>
        <v/>
      </c>
      <c r="Y452" s="58">
        <f t="shared" si="119"/>
        <v>0</v>
      </c>
      <c r="AA452" s="62" t="str">
        <f t="shared" ref="AA452:AA515" si="130">IFERROR(VLOOKUP(Z452,X:Y,2,FALSE),"")</f>
        <v/>
      </c>
    </row>
    <row r="453" spans="3:27">
      <c r="C453" s="82"/>
      <c r="E453" s="30" t="str">
        <f t="shared" si="127"/>
        <v>00:00:00</v>
      </c>
      <c r="F453" s="36" t="str">
        <f t="shared" si="120"/>
        <v/>
      </c>
      <c r="G453" s="36">
        <f t="shared" si="121"/>
        <v>0</v>
      </c>
      <c r="H453" s="3" t="str">
        <f t="shared" si="122"/>
        <v/>
      </c>
      <c r="I453" s="3">
        <f t="shared" si="123"/>
        <v>0</v>
      </c>
      <c r="L453" s="35">
        <f t="shared" si="116"/>
        <v>1</v>
      </c>
      <c r="O453" s="27">
        <f t="shared" si="124"/>
        <v>0</v>
      </c>
      <c r="P453" s="3">
        <v>451</v>
      </c>
      <c r="Q453" s="3" t="e">
        <f t="shared" si="128"/>
        <v>#N/A</v>
      </c>
      <c r="R453" s="3" t="e">
        <f t="shared" si="129"/>
        <v>#N/A</v>
      </c>
      <c r="T453" s="46" t="str">
        <f t="shared" si="125"/>
        <v/>
      </c>
      <c r="U453" s="48" t="str">
        <f t="shared" si="126"/>
        <v/>
      </c>
      <c r="W453" s="56">
        <f t="shared" si="117"/>
        <v>0</v>
      </c>
      <c r="X453" s="57" t="str">
        <f t="shared" si="118"/>
        <v/>
      </c>
      <c r="Y453" s="58">
        <f t="shared" si="119"/>
        <v>0</v>
      </c>
      <c r="AA453" s="62" t="str">
        <f t="shared" si="130"/>
        <v/>
      </c>
    </row>
    <row r="454" spans="3:27">
      <c r="C454" s="82"/>
      <c r="E454" s="30" t="str">
        <f t="shared" si="127"/>
        <v>00:00:00</v>
      </c>
      <c r="F454" s="36" t="str">
        <f t="shared" si="120"/>
        <v/>
      </c>
      <c r="G454" s="36">
        <f t="shared" si="121"/>
        <v>0</v>
      </c>
      <c r="H454" s="3" t="str">
        <f t="shared" si="122"/>
        <v/>
      </c>
      <c r="I454" s="3">
        <f t="shared" si="123"/>
        <v>0</v>
      </c>
      <c r="L454" s="35">
        <f t="shared" si="116"/>
        <v>1</v>
      </c>
      <c r="O454" s="27">
        <f t="shared" si="124"/>
        <v>0</v>
      </c>
      <c r="P454" s="3">
        <v>452</v>
      </c>
      <c r="Q454" s="3" t="e">
        <f t="shared" si="128"/>
        <v>#N/A</v>
      </c>
      <c r="R454" s="3" t="e">
        <f t="shared" si="129"/>
        <v>#N/A</v>
      </c>
      <c r="T454" s="46" t="str">
        <f t="shared" si="125"/>
        <v/>
      </c>
      <c r="U454" s="48" t="str">
        <f t="shared" si="126"/>
        <v/>
      </c>
      <c r="W454" s="56">
        <f t="shared" si="117"/>
        <v>0</v>
      </c>
      <c r="X454" s="57" t="str">
        <f t="shared" si="118"/>
        <v/>
      </c>
      <c r="Y454" s="58">
        <f t="shared" si="119"/>
        <v>0</v>
      </c>
      <c r="AA454" s="62" t="str">
        <f t="shared" si="130"/>
        <v/>
      </c>
    </row>
    <row r="455" spans="3:27">
      <c r="C455" s="82"/>
      <c r="E455" s="30" t="str">
        <f t="shared" si="127"/>
        <v>00:00:00</v>
      </c>
      <c r="F455" s="36" t="str">
        <f t="shared" si="120"/>
        <v/>
      </c>
      <c r="G455" s="36">
        <f t="shared" si="121"/>
        <v>0</v>
      </c>
      <c r="H455" s="3" t="str">
        <f t="shared" si="122"/>
        <v/>
      </c>
      <c r="I455" s="3">
        <f t="shared" si="123"/>
        <v>0</v>
      </c>
      <c r="L455" s="35">
        <f t="shared" si="116"/>
        <v>1</v>
      </c>
      <c r="O455" s="27">
        <f t="shared" si="124"/>
        <v>0</v>
      </c>
      <c r="P455" s="3">
        <v>453</v>
      </c>
      <c r="Q455" s="3" t="e">
        <f t="shared" si="128"/>
        <v>#N/A</v>
      </c>
      <c r="R455" s="3" t="e">
        <f t="shared" si="129"/>
        <v>#N/A</v>
      </c>
      <c r="T455" s="46" t="str">
        <f t="shared" si="125"/>
        <v/>
      </c>
      <c r="U455" s="48" t="str">
        <f t="shared" si="126"/>
        <v/>
      </c>
      <c r="W455" s="56">
        <f t="shared" si="117"/>
        <v>0</v>
      </c>
      <c r="X455" s="57" t="str">
        <f t="shared" si="118"/>
        <v/>
      </c>
      <c r="Y455" s="58">
        <f t="shared" si="119"/>
        <v>0</v>
      </c>
      <c r="AA455" s="62" t="str">
        <f t="shared" si="130"/>
        <v/>
      </c>
    </row>
    <row r="456" spans="3:27">
      <c r="C456" s="82"/>
      <c r="E456" s="30" t="str">
        <f t="shared" si="127"/>
        <v>00:00:00</v>
      </c>
      <c r="F456" s="36" t="str">
        <f t="shared" si="120"/>
        <v/>
      </c>
      <c r="G456" s="36">
        <f t="shared" si="121"/>
        <v>0</v>
      </c>
      <c r="H456" s="3" t="str">
        <f t="shared" si="122"/>
        <v/>
      </c>
      <c r="I456" s="3">
        <f t="shared" si="123"/>
        <v>0</v>
      </c>
      <c r="L456" s="35">
        <f t="shared" si="116"/>
        <v>1</v>
      </c>
      <c r="O456" s="27">
        <f t="shared" si="124"/>
        <v>0</v>
      </c>
      <c r="P456" s="3">
        <v>454</v>
      </c>
      <c r="Q456" s="3" t="e">
        <f t="shared" si="128"/>
        <v>#N/A</v>
      </c>
      <c r="R456" s="3" t="e">
        <f t="shared" si="129"/>
        <v>#N/A</v>
      </c>
      <c r="T456" s="46" t="str">
        <f t="shared" si="125"/>
        <v/>
      </c>
      <c r="U456" s="48" t="str">
        <f t="shared" si="126"/>
        <v/>
      </c>
      <c r="W456" s="56">
        <f t="shared" si="117"/>
        <v>0</v>
      </c>
      <c r="X456" s="57" t="str">
        <f t="shared" si="118"/>
        <v/>
      </c>
      <c r="Y456" s="58">
        <f t="shared" si="119"/>
        <v>0</v>
      </c>
      <c r="AA456" s="62" t="str">
        <f t="shared" si="130"/>
        <v/>
      </c>
    </row>
    <row r="457" spans="3:27">
      <c r="C457" s="82"/>
      <c r="E457" s="30" t="str">
        <f t="shared" si="127"/>
        <v>00:00:00</v>
      </c>
      <c r="F457" s="36" t="str">
        <f t="shared" si="120"/>
        <v/>
      </c>
      <c r="G457" s="36">
        <f t="shared" si="121"/>
        <v>0</v>
      </c>
      <c r="H457" s="3" t="str">
        <f t="shared" si="122"/>
        <v/>
      </c>
      <c r="I457" s="3">
        <f t="shared" si="123"/>
        <v>0</v>
      </c>
      <c r="L457" s="35">
        <f t="shared" si="116"/>
        <v>1</v>
      </c>
      <c r="O457" s="27">
        <f t="shared" si="124"/>
        <v>0</v>
      </c>
      <c r="P457" s="3">
        <v>455</v>
      </c>
      <c r="Q457" s="3" t="e">
        <f t="shared" si="128"/>
        <v>#N/A</v>
      </c>
      <c r="R457" s="3" t="e">
        <f t="shared" si="129"/>
        <v>#N/A</v>
      </c>
      <c r="T457" s="46" t="str">
        <f t="shared" si="125"/>
        <v/>
      </c>
      <c r="U457" s="48" t="str">
        <f t="shared" si="126"/>
        <v/>
      </c>
      <c r="W457" s="56">
        <f t="shared" si="117"/>
        <v>0</v>
      </c>
      <c r="X457" s="57" t="str">
        <f t="shared" si="118"/>
        <v/>
      </c>
      <c r="Y457" s="58">
        <f t="shared" si="119"/>
        <v>0</v>
      </c>
      <c r="AA457" s="62" t="str">
        <f t="shared" si="130"/>
        <v/>
      </c>
    </row>
    <row r="458" spans="3:27">
      <c r="C458" s="82"/>
      <c r="E458" s="30" t="str">
        <f t="shared" si="127"/>
        <v>00:00:00</v>
      </c>
      <c r="F458" s="36" t="str">
        <f t="shared" si="120"/>
        <v/>
      </c>
      <c r="G458" s="36">
        <f t="shared" si="121"/>
        <v>0</v>
      </c>
      <c r="H458" s="3" t="str">
        <f t="shared" si="122"/>
        <v/>
      </c>
      <c r="I458" s="3">
        <f t="shared" si="123"/>
        <v>0</v>
      </c>
      <c r="L458" s="35">
        <f t="shared" si="116"/>
        <v>1</v>
      </c>
      <c r="O458" s="27">
        <f t="shared" si="124"/>
        <v>0</v>
      </c>
      <c r="P458" s="3">
        <v>456</v>
      </c>
      <c r="Q458" s="3" t="e">
        <f t="shared" si="128"/>
        <v>#N/A</v>
      </c>
      <c r="R458" s="3" t="e">
        <f t="shared" si="129"/>
        <v>#N/A</v>
      </c>
      <c r="T458" s="46" t="str">
        <f t="shared" si="125"/>
        <v/>
      </c>
      <c r="U458" s="48" t="str">
        <f t="shared" si="126"/>
        <v/>
      </c>
      <c r="W458" s="56">
        <f t="shared" si="117"/>
        <v>0</v>
      </c>
      <c r="X458" s="57" t="str">
        <f t="shared" si="118"/>
        <v/>
      </c>
      <c r="Y458" s="58">
        <f t="shared" si="119"/>
        <v>0</v>
      </c>
      <c r="AA458" s="62" t="str">
        <f t="shared" si="130"/>
        <v/>
      </c>
    </row>
    <row r="459" spans="3:27">
      <c r="C459" s="82"/>
      <c r="E459" s="30" t="str">
        <f t="shared" si="127"/>
        <v>00:00:00</v>
      </c>
      <c r="F459" s="36" t="str">
        <f t="shared" si="120"/>
        <v/>
      </c>
      <c r="G459" s="36">
        <f t="shared" si="121"/>
        <v>0</v>
      </c>
      <c r="H459" s="3" t="str">
        <f t="shared" si="122"/>
        <v/>
      </c>
      <c r="I459" s="3">
        <f t="shared" si="123"/>
        <v>0</v>
      </c>
      <c r="L459" s="35">
        <f t="shared" si="116"/>
        <v>1</v>
      </c>
      <c r="O459" s="27">
        <f t="shared" si="124"/>
        <v>0</v>
      </c>
      <c r="P459" s="3">
        <v>457</v>
      </c>
      <c r="Q459" s="3" t="e">
        <f t="shared" si="128"/>
        <v>#N/A</v>
      </c>
      <c r="R459" s="3" t="e">
        <f t="shared" si="129"/>
        <v>#N/A</v>
      </c>
      <c r="T459" s="46" t="str">
        <f t="shared" si="125"/>
        <v/>
      </c>
      <c r="U459" s="48" t="str">
        <f t="shared" si="126"/>
        <v/>
      </c>
      <c r="W459" s="56">
        <f t="shared" si="117"/>
        <v>0</v>
      </c>
      <c r="X459" s="57" t="str">
        <f t="shared" si="118"/>
        <v/>
      </c>
      <c r="Y459" s="58">
        <f t="shared" si="119"/>
        <v>0</v>
      </c>
      <c r="AA459" s="62" t="str">
        <f t="shared" si="130"/>
        <v/>
      </c>
    </row>
    <row r="460" spans="3:27">
      <c r="C460" s="82"/>
      <c r="E460" s="30" t="str">
        <f t="shared" si="127"/>
        <v>00:00:00</v>
      </c>
      <c r="F460" s="36" t="str">
        <f t="shared" si="120"/>
        <v/>
      </c>
      <c r="G460" s="36">
        <f t="shared" si="121"/>
        <v>0</v>
      </c>
      <c r="H460" s="3" t="str">
        <f t="shared" si="122"/>
        <v/>
      </c>
      <c r="I460" s="3">
        <f t="shared" si="123"/>
        <v>0</v>
      </c>
      <c r="L460" s="35">
        <f t="shared" ref="L460:L523" si="131">IF(I459=1,L459+I459,L459)</f>
        <v>1</v>
      </c>
      <c r="O460" s="27">
        <f t="shared" si="124"/>
        <v>0</v>
      </c>
      <c r="P460" s="3">
        <v>458</v>
      </c>
      <c r="Q460" s="3" t="e">
        <f t="shared" si="128"/>
        <v>#N/A</v>
      </c>
      <c r="R460" s="3" t="e">
        <f t="shared" si="129"/>
        <v>#N/A</v>
      </c>
      <c r="T460" s="46" t="str">
        <f t="shared" si="125"/>
        <v/>
      </c>
      <c r="U460" s="48" t="str">
        <f t="shared" si="126"/>
        <v/>
      </c>
      <c r="W460" s="56">
        <f t="shared" si="117"/>
        <v>0</v>
      </c>
      <c r="X460" s="57" t="str">
        <f t="shared" si="118"/>
        <v/>
      </c>
      <c r="Y460" s="58">
        <f t="shared" si="119"/>
        <v>0</v>
      </c>
      <c r="AA460" s="62" t="str">
        <f t="shared" si="130"/>
        <v/>
      </c>
    </row>
    <row r="461" spans="3:27">
      <c r="C461" s="82"/>
      <c r="E461" s="30" t="str">
        <f t="shared" si="127"/>
        <v>00:00:00</v>
      </c>
      <c r="F461" s="36" t="str">
        <f t="shared" si="120"/>
        <v/>
      </c>
      <c r="G461" s="36">
        <f t="shared" si="121"/>
        <v>0</v>
      </c>
      <c r="H461" s="3" t="str">
        <f t="shared" si="122"/>
        <v/>
      </c>
      <c r="I461" s="3">
        <f t="shared" si="123"/>
        <v>0</v>
      </c>
      <c r="L461" s="35">
        <f t="shared" si="131"/>
        <v>1</v>
      </c>
      <c r="O461" s="27">
        <f t="shared" si="124"/>
        <v>0</v>
      </c>
      <c r="P461" s="3">
        <v>459</v>
      </c>
      <c r="Q461" s="3" t="e">
        <f t="shared" si="128"/>
        <v>#N/A</v>
      </c>
      <c r="R461" s="3" t="e">
        <f t="shared" si="129"/>
        <v>#N/A</v>
      </c>
      <c r="T461" s="46" t="str">
        <f t="shared" si="125"/>
        <v/>
      </c>
      <c r="U461" s="48" t="str">
        <f t="shared" si="126"/>
        <v/>
      </c>
      <c r="W461" s="56">
        <f t="shared" si="117"/>
        <v>0</v>
      </c>
      <c r="X461" s="57" t="str">
        <f t="shared" si="118"/>
        <v/>
      </c>
      <c r="Y461" s="58">
        <f t="shared" si="119"/>
        <v>0</v>
      </c>
      <c r="AA461" s="62" t="str">
        <f t="shared" si="130"/>
        <v/>
      </c>
    </row>
    <row r="462" spans="3:27">
      <c r="C462" s="82"/>
      <c r="E462" s="30" t="str">
        <f t="shared" si="127"/>
        <v>00:00:00</v>
      </c>
      <c r="F462" s="36" t="str">
        <f t="shared" si="120"/>
        <v/>
      </c>
      <c r="G462" s="36">
        <f t="shared" si="121"/>
        <v>0</v>
      </c>
      <c r="H462" s="3" t="str">
        <f t="shared" si="122"/>
        <v/>
      </c>
      <c r="I462" s="3">
        <f t="shared" si="123"/>
        <v>0</v>
      </c>
      <c r="L462" s="35">
        <f t="shared" si="131"/>
        <v>1</v>
      </c>
      <c r="O462" s="27">
        <f t="shared" si="124"/>
        <v>0</v>
      </c>
      <c r="P462" s="3">
        <v>460</v>
      </c>
      <c r="Q462" s="3" t="e">
        <f t="shared" si="128"/>
        <v>#N/A</v>
      </c>
      <c r="R462" s="3" t="e">
        <f t="shared" si="129"/>
        <v>#N/A</v>
      </c>
      <c r="T462" s="46" t="str">
        <f t="shared" si="125"/>
        <v/>
      </c>
      <c r="U462" s="48" t="str">
        <f t="shared" si="126"/>
        <v/>
      </c>
      <c r="W462" s="56">
        <f t="shared" si="117"/>
        <v>0</v>
      </c>
      <c r="X462" s="57" t="str">
        <f t="shared" si="118"/>
        <v/>
      </c>
      <c r="Y462" s="58">
        <f t="shared" si="119"/>
        <v>0</v>
      </c>
      <c r="AA462" s="62" t="str">
        <f t="shared" si="130"/>
        <v/>
      </c>
    </row>
    <row r="463" spans="3:27">
      <c r="C463" s="82"/>
      <c r="E463" s="30" t="str">
        <f t="shared" si="127"/>
        <v>00:00:00</v>
      </c>
      <c r="F463" s="36" t="str">
        <f t="shared" si="120"/>
        <v/>
      </c>
      <c r="G463" s="36">
        <f t="shared" si="121"/>
        <v>0</v>
      </c>
      <c r="H463" s="3" t="str">
        <f t="shared" si="122"/>
        <v/>
      </c>
      <c r="I463" s="3">
        <f t="shared" si="123"/>
        <v>0</v>
      </c>
      <c r="L463" s="35">
        <f t="shared" si="131"/>
        <v>1</v>
      </c>
      <c r="O463" s="27">
        <f t="shared" si="124"/>
        <v>0</v>
      </c>
      <c r="P463" s="3">
        <v>461</v>
      </c>
      <c r="Q463" s="3" t="e">
        <f t="shared" si="128"/>
        <v>#N/A</v>
      </c>
      <c r="R463" s="3" t="e">
        <f t="shared" si="129"/>
        <v>#N/A</v>
      </c>
      <c r="T463" s="46" t="str">
        <f t="shared" si="125"/>
        <v/>
      </c>
      <c r="U463" s="48" t="str">
        <f t="shared" si="126"/>
        <v/>
      </c>
      <c r="W463" s="56">
        <f t="shared" si="117"/>
        <v>0</v>
      </c>
      <c r="X463" s="57" t="str">
        <f t="shared" si="118"/>
        <v/>
      </c>
      <c r="Y463" s="58">
        <f t="shared" si="119"/>
        <v>0</v>
      </c>
      <c r="AA463" s="62" t="str">
        <f t="shared" si="130"/>
        <v/>
      </c>
    </row>
    <row r="464" spans="3:27">
      <c r="C464" s="82"/>
      <c r="E464" s="30" t="str">
        <f t="shared" si="127"/>
        <v>00:00:00</v>
      </c>
      <c r="F464" s="36" t="str">
        <f t="shared" si="120"/>
        <v/>
      </c>
      <c r="G464" s="36">
        <f t="shared" si="121"/>
        <v>0</v>
      </c>
      <c r="H464" s="3" t="str">
        <f t="shared" si="122"/>
        <v/>
      </c>
      <c r="I464" s="3">
        <f t="shared" si="123"/>
        <v>0</v>
      </c>
      <c r="L464" s="35">
        <f t="shared" si="131"/>
        <v>1</v>
      </c>
      <c r="O464" s="27">
        <f t="shared" si="124"/>
        <v>0</v>
      </c>
      <c r="P464" s="3">
        <v>462</v>
      </c>
      <c r="Q464" s="3" t="e">
        <f t="shared" si="128"/>
        <v>#N/A</v>
      </c>
      <c r="R464" s="3" t="e">
        <f t="shared" si="129"/>
        <v>#N/A</v>
      </c>
      <c r="T464" s="46" t="str">
        <f t="shared" si="125"/>
        <v/>
      </c>
      <c r="U464" s="48" t="str">
        <f t="shared" si="126"/>
        <v/>
      </c>
      <c r="W464" s="56">
        <f t="shared" si="117"/>
        <v>0</v>
      </c>
      <c r="X464" s="57" t="str">
        <f t="shared" si="118"/>
        <v/>
      </c>
      <c r="Y464" s="58">
        <f t="shared" si="119"/>
        <v>0</v>
      </c>
      <c r="AA464" s="62" t="str">
        <f t="shared" si="130"/>
        <v/>
      </c>
    </row>
    <row r="465" spans="3:27">
      <c r="C465" s="82"/>
      <c r="E465" s="30" t="str">
        <f t="shared" si="127"/>
        <v>00:00:00</v>
      </c>
      <c r="F465" s="36" t="str">
        <f t="shared" si="120"/>
        <v/>
      </c>
      <c r="G465" s="36">
        <f t="shared" si="121"/>
        <v>0</v>
      </c>
      <c r="H465" s="3" t="str">
        <f t="shared" si="122"/>
        <v/>
      </c>
      <c r="I465" s="3">
        <f t="shared" si="123"/>
        <v>0</v>
      </c>
      <c r="L465" s="35">
        <f t="shared" si="131"/>
        <v>1</v>
      </c>
      <c r="O465" s="27">
        <f t="shared" si="124"/>
        <v>0</v>
      </c>
      <c r="P465" s="3">
        <v>463</v>
      </c>
      <c r="Q465" s="3" t="e">
        <f t="shared" si="128"/>
        <v>#N/A</v>
      </c>
      <c r="R465" s="3" t="e">
        <f t="shared" si="129"/>
        <v>#N/A</v>
      </c>
      <c r="T465" s="46" t="str">
        <f t="shared" si="125"/>
        <v/>
      </c>
      <c r="U465" s="48" t="str">
        <f t="shared" si="126"/>
        <v/>
      </c>
      <c r="W465" s="56">
        <f t="shared" si="117"/>
        <v>0</v>
      </c>
      <c r="X465" s="57" t="str">
        <f t="shared" si="118"/>
        <v/>
      </c>
      <c r="Y465" s="58">
        <f t="shared" si="119"/>
        <v>0</v>
      </c>
      <c r="AA465" s="62" t="str">
        <f t="shared" si="130"/>
        <v/>
      </c>
    </row>
    <row r="466" spans="3:27">
      <c r="C466" s="82"/>
      <c r="E466" s="30" t="str">
        <f t="shared" si="127"/>
        <v>00:00:00</v>
      </c>
      <c r="F466" s="36" t="str">
        <f t="shared" si="120"/>
        <v/>
      </c>
      <c r="G466" s="36">
        <f t="shared" si="121"/>
        <v>0</v>
      </c>
      <c r="H466" s="3" t="str">
        <f t="shared" si="122"/>
        <v/>
      </c>
      <c r="I466" s="3">
        <f t="shared" si="123"/>
        <v>0</v>
      </c>
      <c r="L466" s="35">
        <f t="shared" si="131"/>
        <v>1</v>
      </c>
      <c r="O466" s="27">
        <f t="shared" si="124"/>
        <v>0</v>
      </c>
      <c r="P466" s="3">
        <v>464</v>
      </c>
      <c r="Q466" s="3" t="e">
        <f t="shared" si="128"/>
        <v>#N/A</v>
      </c>
      <c r="R466" s="3" t="e">
        <f t="shared" si="129"/>
        <v>#N/A</v>
      </c>
      <c r="T466" s="46" t="str">
        <f t="shared" si="125"/>
        <v/>
      </c>
      <c r="U466" s="48" t="str">
        <f t="shared" si="126"/>
        <v/>
      </c>
      <c r="W466" s="56">
        <f t="shared" si="117"/>
        <v>0</v>
      </c>
      <c r="X466" s="57" t="str">
        <f t="shared" si="118"/>
        <v/>
      </c>
      <c r="Y466" s="58">
        <f t="shared" si="119"/>
        <v>0</v>
      </c>
      <c r="AA466" s="62" t="str">
        <f t="shared" si="130"/>
        <v/>
      </c>
    </row>
    <row r="467" spans="3:27">
      <c r="C467" s="82"/>
      <c r="E467" s="30" t="str">
        <f t="shared" si="127"/>
        <v>00:00:00</v>
      </c>
      <c r="F467" s="36" t="str">
        <f t="shared" si="120"/>
        <v/>
      </c>
      <c r="G467" s="36">
        <f t="shared" si="121"/>
        <v>0</v>
      </c>
      <c r="H467" s="3" t="str">
        <f t="shared" si="122"/>
        <v/>
      </c>
      <c r="I467" s="3">
        <f t="shared" si="123"/>
        <v>0</v>
      </c>
      <c r="L467" s="35">
        <f t="shared" si="131"/>
        <v>1</v>
      </c>
      <c r="O467" s="27">
        <f t="shared" si="124"/>
        <v>0</v>
      </c>
      <c r="P467" s="3">
        <v>465</v>
      </c>
      <c r="Q467" s="3" t="e">
        <f t="shared" si="128"/>
        <v>#N/A</v>
      </c>
      <c r="R467" s="3" t="e">
        <f t="shared" si="129"/>
        <v>#N/A</v>
      </c>
      <c r="T467" s="46" t="str">
        <f t="shared" si="125"/>
        <v/>
      </c>
      <c r="U467" s="48" t="str">
        <f t="shared" si="126"/>
        <v/>
      </c>
      <c r="W467" s="56">
        <f t="shared" si="117"/>
        <v>0</v>
      </c>
      <c r="X467" s="57" t="str">
        <f t="shared" si="118"/>
        <v/>
      </c>
      <c r="Y467" s="58">
        <f t="shared" si="119"/>
        <v>0</v>
      </c>
      <c r="AA467" s="62" t="str">
        <f t="shared" si="130"/>
        <v/>
      </c>
    </row>
    <row r="468" spans="3:27">
      <c r="C468" s="82"/>
      <c r="E468" s="30" t="str">
        <f t="shared" si="127"/>
        <v>00:00:00</v>
      </c>
      <c r="F468" s="36" t="str">
        <f t="shared" si="120"/>
        <v/>
      </c>
      <c r="G468" s="36">
        <f t="shared" si="121"/>
        <v>0</v>
      </c>
      <c r="H468" s="3" t="str">
        <f t="shared" si="122"/>
        <v/>
      </c>
      <c r="I468" s="3">
        <f t="shared" si="123"/>
        <v>0</v>
      </c>
      <c r="L468" s="35">
        <f t="shared" si="131"/>
        <v>1</v>
      </c>
      <c r="O468" s="27">
        <f t="shared" si="124"/>
        <v>0</v>
      </c>
      <c r="P468" s="3">
        <v>466</v>
      </c>
      <c r="Q468" s="3" t="e">
        <f t="shared" si="128"/>
        <v>#N/A</v>
      </c>
      <c r="R468" s="3" t="e">
        <f t="shared" si="129"/>
        <v>#N/A</v>
      </c>
      <c r="T468" s="46" t="str">
        <f t="shared" si="125"/>
        <v/>
      </c>
      <c r="U468" s="48" t="str">
        <f t="shared" si="126"/>
        <v/>
      </c>
      <c r="W468" s="56">
        <f t="shared" si="117"/>
        <v>0</v>
      </c>
      <c r="X468" s="57" t="str">
        <f t="shared" si="118"/>
        <v/>
      </c>
      <c r="Y468" s="58">
        <f t="shared" si="119"/>
        <v>0</v>
      </c>
      <c r="AA468" s="62" t="str">
        <f t="shared" si="130"/>
        <v/>
      </c>
    </row>
    <row r="469" spans="3:27">
      <c r="C469" s="82"/>
      <c r="E469" s="30" t="str">
        <f t="shared" si="127"/>
        <v>00:00:00</v>
      </c>
      <c r="F469" s="36" t="str">
        <f t="shared" si="120"/>
        <v/>
      </c>
      <c r="G469" s="36">
        <f t="shared" si="121"/>
        <v>0</v>
      </c>
      <c r="H469" s="3" t="str">
        <f t="shared" si="122"/>
        <v/>
      </c>
      <c r="I469" s="3">
        <f t="shared" si="123"/>
        <v>0</v>
      </c>
      <c r="L469" s="35">
        <f t="shared" si="131"/>
        <v>1</v>
      </c>
      <c r="O469" s="27">
        <f t="shared" si="124"/>
        <v>0</v>
      </c>
      <c r="P469" s="3">
        <v>467</v>
      </c>
      <c r="Q469" s="3" t="e">
        <f t="shared" si="128"/>
        <v>#N/A</v>
      </c>
      <c r="R469" s="3" t="e">
        <f t="shared" si="129"/>
        <v>#N/A</v>
      </c>
      <c r="T469" s="46" t="str">
        <f t="shared" si="125"/>
        <v/>
      </c>
      <c r="U469" s="48" t="str">
        <f t="shared" si="126"/>
        <v/>
      </c>
      <c r="W469" s="56">
        <f t="shared" si="117"/>
        <v>0</v>
      </c>
      <c r="X469" s="57" t="str">
        <f t="shared" si="118"/>
        <v/>
      </c>
      <c r="Y469" s="58">
        <f t="shared" si="119"/>
        <v>0</v>
      </c>
      <c r="AA469" s="62" t="str">
        <f t="shared" si="130"/>
        <v/>
      </c>
    </row>
    <row r="470" spans="3:27">
      <c r="C470" s="82"/>
      <c r="E470" s="30" t="str">
        <f t="shared" si="127"/>
        <v>00:00:00</v>
      </c>
      <c r="F470" s="36" t="str">
        <f t="shared" si="120"/>
        <v/>
      </c>
      <c r="G470" s="36">
        <f t="shared" si="121"/>
        <v>0</v>
      </c>
      <c r="H470" s="3" t="str">
        <f t="shared" si="122"/>
        <v/>
      </c>
      <c r="I470" s="3">
        <f t="shared" si="123"/>
        <v>0</v>
      </c>
      <c r="L470" s="35">
        <f t="shared" si="131"/>
        <v>1</v>
      </c>
      <c r="O470" s="27">
        <f t="shared" si="124"/>
        <v>0</v>
      </c>
      <c r="P470" s="3">
        <v>468</v>
      </c>
      <c r="Q470" s="3" t="e">
        <f t="shared" si="128"/>
        <v>#N/A</v>
      </c>
      <c r="R470" s="3" t="e">
        <f t="shared" si="129"/>
        <v>#N/A</v>
      </c>
      <c r="T470" s="46" t="str">
        <f t="shared" si="125"/>
        <v/>
      </c>
      <c r="U470" s="48" t="str">
        <f t="shared" si="126"/>
        <v/>
      </c>
      <c r="W470" s="56">
        <f t="shared" si="117"/>
        <v>0</v>
      </c>
      <c r="X470" s="57" t="str">
        <f t="shared" si="118"/>
        <v/>
      </c>
      <c r="Y470" s="58">
        <f t="shared" si="119"/>
        <v>0</v>
      </c>
      <c r="AA470" s="62" t="str">
        <f t="shared" si="130"/>
        <v/>
      </c>
    </row>
    <row r="471" spans="3:27">
      <c r="C471" s="82"/>
      <c r="E471" s="30" t="str">
        <f t="shared" si="127"/>
        <v>00:00:00</v>
      </c>
      <c r="F471" s="36" t="str">
        <f t="shared" si="120"/>
        <v/>
      </c>
      <c r="G471" s="36">
        <f t="shared" si="121"/>
        <v>0</v>
      </c>
      <c r="H471" s="3" t="str">
        <f t="shared" si="122"/>
        <v/>
      </c>
      <c r="I471" s="3">
        <f t="shared" si="123"/>
        <v>0</v>
      </c>
      <c r="L471" s="35">
        <f t="shared" si="131"/>
        <v>1</v>
      </c>
      <c r="O471" s="27">
        <f t="shared" si="124"/>
        <v>0</v>
      </c>
      <c r="P471" s="3">
        <v>469</v>
      </c>
      <c r="Q471" s="3" t="e">
        <f t="shared" si="128"/>
        <v>#N/A</v>
      </c>
      <c r="R471" s="3" t="e">
        <f t="shared" si="129"/>
        <v>#N/A</v>
      </c>
      <c r="T471" s="46" t="str">
        <f t="shared" si="125"/>
        <v/>
      </c>
      <c r="U471" s="48" t="str">
        <f t="shared" si="126"/>
        <v/>
      </c>
      <c r="W471" s="56">
        <f t="shared" si="117"/>
        <v>0</v>
      </c>
      <c r="X471" s="57" t="str">
        <f t="shared" si="118"/>
        <v/>
      </c>
      <c r="Y471" s="58">
        <f t="shared" si="119"/>
        <v>0</v>
      </c>
      <c r="AA471" s="62" t="str">
        <f t="shared" si="130"/>
        <v/>
      </c>
    </row>
    <row r="472" spans="3:27">
      <c r="C472" s="82"/>
      <c r="E472" s="30" t="str">
        <f t="shared" si="127"/>
        <v>00:00:00</v>
      </c>
      <c r="F472" s="36" t="str">
        <f t="shared" si="120"/>
        <v/>
      </c>
      <c r="G472" s="36">
        <f t="shared" si="121"/>
        <v>0</v>
      </c>
      <c r="H472" s="3" t="str">
        <f t="shared" si="122"/>
        <v/>
      </c>
      <c r="I472" s="3">
        <f t="shared" si="123"/>
        <v>0</v>
      </c>
      <c r="L472" s="35">
        <f t="shared" si="131"/>
        <v>1</v>
      </c>
      <c r="O472" s="27">
        <f t="shared" si="124"/>
        <v>0</v>
      </c>
      <c r="P472" s="3">
        <v>470</v>
      </c>
      <c r="Q472" s="3" t="e">
        <f t="shared" si="128"/>
        <v>#N/A</v>
      </c>
      <c r="R472" s="3" t="e">
        <f t="shared" si="129"/>
        <v>#N/A</v>
      </c>
      <c r="T472" s="46" t="str">
        <f t="shared" si="125"/>
        <v/>
      </c>
      <c r="U472" s="48" t="str">
        <f t="shared" si="126"/>
        <v/>
      </c>
      <c r="W472" s="56">
        <f t="shared" si="117"/>
        <v>0</v>
      </c>
      <c r="X472" s="57" t="str">
        <f t="shared" si="118"/>
        <v/>
      </c>
      <c r="Y472" s="58">
        <f t="shared" si="119"/>
        <v>0</v>
      </c>
      <c r="AA472" s="62" t="str">
        <f t="shared" si="130"/>
        <v/>
      </c>
    </row>
    <row r="473" spans="3:27">
      <c r="C473" s="82"/>
      <c r="E473" s="30" t="str">
        <f t="shared" si="127"/>
        <v>00:00:00</v>
      </c>
      <c r="F473" s="36" t="str">
        <f t="shared" si="120"/>
        <v/>
      </c>
      <c r="G473" s="36">
        <f t="shared" si="121"/>
        <v>0</v>
      </c>
      <c r="H473" s="3" t="str">
        <f t="shared" si="122"/>
        <v/>
      </c>
      <c r="I473" s="3">
        <f t="shared" si="123"/>
        <v>0</v>
      </c>
      <c r="L473" s="35">
        <f t="shared" si="131"/>
        <v>1</v>
      </c>
      <c r="O473" s="27">
        <f t="shared" si="124"/>
        <v>0</v>
      </c>
      <c r="P473" s="3">
        <v>471</v>
      </c>
      <c r="Q473" s="3" t="e">
        <f t="shared" si="128"/>
        <v>#N/A</v>
      </c>
      <c r="R473" s="3" t="e">
        <f t="shared" si="129"/>
        <v>#N/A</v>
      </c>
      <c r="T473" s="46" t="str">
        <f t="shared" si="125"/>
        <v/>
      </c>
      <c r="U473" s="48" t="str">
        <f t="shared" si="126"/>
        <v/>
      </c>
      <c r="W473" s="56">
        <f t="shared" si="117"/>
        <v>0</v>
      </c>
      <c r="X473" s="57" t="str">
        <f t="shared" si="118"/>
        <v/>
      </c>
      <c r="Y473" s="58">
        <f t="shared" si="119"/>
        <v>0</v>
      </c>
      <c r="AA473" s="62" t="str">
        <f t="shared" si="130"/>
        <v/>
      </c>
    </row>
    <row r="474" spans="3:27">
      <c r="C474" s="82"/>
      <c r="E474" s="30" t="str">
        <f t="shared" si="127"/>
        <v>00:00:00</v>
      </c>
      <c r="F474" s="36" t="str">
        <f t="shared" si="120"/>
        <v/>
      </c>
      <c r="G474" s="36">
        <f t="shared" si="121"/>
        <v>0</v>
      </c>
      <c r="H474" s="3" t="str">
        <f t="shared" si="122"/>
        <v/>
      </c>
      <c r="I474" s="3">
        <f t="shared" si="123"/>
        <v>0</v>
      </c>
      <c r="L474" s="35">
        <f t="shared" si="131"/>
        <v>1</v>
      </c>
      <c r="O474" s="27">
        <f t="shared" si="124"/>
        <v>0</v>
      </c>
      <c r="P474" s="3">
        <v>472</v>
      </c>
      <c r="Q474" s="3" t="e">
        <f t="shared" si="128"/>
        <v>#N/A</v>
      </c>
      <c r="R474" s="3" t="e">
        <f t="shared" si="129"/>
        <v>#N/A</v>
      </c>
      <c r="T474" s="46" t="str">
        <f t="shared" si="125"/>
        <v/>
      </c>
      <c r="U474" s="48" t="str">
        <f t="shared" si="126"/>
        <v/>
      </c>
      <c r="W474" s="56">
        <f t="shared" si="117"/>
        <v>0</v>
      </c>
      <c r="X474" s="57" t="str">
        <f t="shared" si="118"/>
        <v/>
      </c>
      <c r="Y474" s="58">
        <f t="shared" si="119"/>
        <v>0</v>
      </c>
      <c r="AA474" s="62" t="str">
        <f t="shared" si="130"/>
        <v/>
      </c>
    </row>
    <row r="475" spans="3:27">
      <c r="C475" s="82"/>
      <c r="E475" s="30" t="str">
        <f t="shared" si="127"/>
        <v>00:00:00</v>
      </c>
      <c r="F475" s="36" t="str">
        <f t="shared" si="120"/>
        <v/>
      </c>
      <c r="G475" s="36">
        <f t="shared" si="121"/>
        <v>0</v>
      </c>
      <c r="H475" s="3" t="str">
        <f t="shared" si="122"/>
        <v/>
      </c>
      <c r="I475" s="3">
        <f t="shared" si="123"/>
        <v>0</v>
      </c>
      <c r="L475" s="35">
        <f t="shared" si="131"/>
        <v>1</v>
      </c>
      <c r="O475" s="27">
        <f t="shared" si="124"/>
        <v>0</v>
      </c>
      <c r="P475" s="3">
        <v>473</v>
      </c>
      <c r="Q475" s="3" t="e">
        <f t="shared" si="128"/>
        <v>#N/A</v>
      </c>
      <c r="R475" s="3" t="e">
        <f t="shared" si="129"/>
        <v>#N/A</v>
      </c>
      <c r="T475" s="46" t="str">
        <f t="shared" si="125"/>
        <v/>
      </c>
      <c r="U475" s="48" t="str">
        <f t="shared" si="126"/>
        <v/>
      </c>
      <c r="W475" s="56">
        <f t="shared" si="117"/>
        <v>0</v>
      </c>
      <c r="X475" s="57" t="str">
        <f t="shared" si="118"/>
        <v/>
      </c>
      <c r="Y475" s="58">
        <f t="shared" si="119"/>
        <v>0</v>
      </c>
      <c r="AA475" s="62" t="str">
        <f t="shared" si="130"/>
        <v/>
      </c>
    </row>
    <row r="476" spans="3:27">
      <c r="C476" s="82"/>
      <c r="E476" s="30" t="str">
        <f t="shared" si="127"/>
        <v>00:00:00</v>
      </c>
      <c r="F476" s="36" t="str">
        <f t="shared" si="120"/>
        <v/>
      </c>
      <c r="G476" s="36">
        <f t="shared" si="121"/>
        <v>0</v>
      </c>
      <c r="H476" s="3" t="str">
        <f t="shared" si="122"/>
        <v/>
      </c>
      <c r="I476" s="3">
        <f t="shared" si="123"/>
        <v>0</v>
      </c>
      <c r="L476" s="35">
        <f t="shared" si="131"/>
        <v>1</v>
      </c>
      <c r="O476" s="27">
        <f t="shared" si="124"/>
        <v>0</v>
      </c>
      <c r="P476" s="3">
        <v>474</v>
      </c>
      <c r="Q476" s="3" t="e">
        <f t="shared" si="128"/>
        <v>#N/A</v>
      </c>
      <c r="R476" s="3" t="e">
        <f t="shared" si="129"/>
        <v>#N/A</v>
      </c>
      <c r="T476" s="46" t="str">
        <f t="shared" si="125"/>
        <v/>
      </c>
      <c r="U476" s="48" t="str">
        <f t="shared" si="126"/>
        <v/>
      </c>
      <c r="W476" s="56">
        <f t="shared" si="117"/>
        <v>0</v>
      </c>
      <c r="X476" s="57" t="str">
        <f t="shared" si="118"/>
        <v/>
      </c>
      <c r="Y476" s="58">
        <f t="shared" si="119"/>
        <v>0</v>
      </c>
      <c r="AA476" s="62" t="str">
        <f t="shared" si="130"/>
        <v/>
      </c>
    </row>
    <row r="477" spans="3:27">
      <c r="C477" s="82"/>
      <c r="E477" s="30" t="str">
        <f t="shared" si="127"/>
        <v>00:00:00</v>
      </c>
      <c r="F477" s="36" t="str">
        <f t="shared" si="120"/>
        <v/>
      </c>
      <c r="G477" s="36">
        <f t="shared" si="121"/>
        <v>0</v>
      </c>
      <c r="H477" s="3" t="str">
        <f t="shared" si="122"/>
        <v/>
      </c>
      <c r="I477" s="3">
        <f t="shared" si="123"/>
        <v>0</v>
      </c>
      <c r="L477" s="35">
        <f t="shared" si="131"/>
        <v>1</v>
      </c>
      <c r="O477" s="27">
        <f t="shared" si="124"/>
        <v>0</v>
      </c>
      <c r="P477" s="3">
        <v>475</v>
      </c>
      <c r="Q477" s="3" t="e">
        <f t="shared" si="128"/>
        <v>#N/A</v>
      </c>
      <c r="R477" s="3" t="e">
        <f t="shared" si="129"/>
        <v>#N/A</v>
      </c>
      <c r="T477" s="46" t="str">
        <f t="shared" si="125"/>
        <v/>
      </c>
      <c r="U477" s="48" t="str">
        <f t="shared" si="126"/>
        <v/>
      </c>
      <c r="W477" s="56">
        <f t="shared" si="117"/>
        <v>0</v>
      </c>
      <c r="X477" s="57" t="str">
        <f t="shared" si="118"/>
        <v/>
      </c>
      <c r="Y477" s="58">
        <f t="shared" si="119"/>
        <v>0</v>
      </c>
      <c r="AA477" s="62" t="str">
        <f t="shared" si="130"/>
        <v/>
      </c>
    </row>
    <row r="478" spans="3:27">
      <c r="C478" s="82"/>
      <c r="E478" s="30" t="str">
        <f t="shared" si="127"/>
        <v>00:00:00</v>
      </c>
      <c r="F478" s="36" t="str">
        <f t="shared" si="120"/>
        <v/>
      </c>
      <c r="G478" s="36">
        <f t="shared" si="121"/>
        <v>0</v>
      </c>
      <c r="H478" s="3" t="str">
        <f t="shared" si="122"/>
        <v/>
      </c>
      <c r="I478" s="3">
        <f t="shared" si="123"/>
        <v>0</v>
      </c>
      <c r="L478" s="35">
        <f t="shared" si="131"/>
        <v>1</v>
      </c>
      <c r="O478" s="27">
        <f t="shared" si="124"/>
        <v>0</v>
      </c>
      <c r="P478" s="3">
        <v>476</v>
      </c>
      <c r="Q478" s="3" t="e">
        <f t="shared" si="128"/>
        <v>#N/A</v>
      </c>
      <c r="R478" s="3" t="e">
        <f t="shared" si="129"/>
        <v>#N/A</v>
      </c>
      <c r="T478" s="46" t="str">
        <f t="shared" si="125"/>
        <v/>
      </c>
      <c r="U478" s="48" t="str">
        <f t="shared" si="126"/>
        <v/>
      </c>
      <c r="W478" s="56">
        <f t="shared" si="117"/>
        <v>0</v>
      </c>
      <c r="X478" s="57" t="str">
        <f t="shared" si="118"/>
        <v/>
      </c>
      <c r="Y478" s="58">
        <f t="shared" si="119"/>
        <v>0</v>
      </c>
      <c r="AA478" s="62" t="str">
        <f t="shared" si="130"/>
        <v/>
      </c>
    </row>
    <row r="479" spans="3:27">
      <c r="C479" s="82"/>
      <c r="E479" s="30" t="str">
        <f t="shared" si="127"/>
        <v>00:00:00</v>
      </c>
      <c r="F479" s="36" t="str">
        <f t="shared" si="120"/>
        <v/>
      </c>
      <c r="G479" s="36">
        <f t="shared" si="121"/>
        <v>0</v>
      </c>
      <c r="H479" s="3" t="str">
        <f t="shared" si="122"/>
        <v/>
      </c>
      <c r="I479" s="3">
        <f t="shared" si="123"/>
        <v>0</v>
      </c>
      <c r="L479" s="35">
        <f t="shared" si="131"/>
        <v>1</v>
      </c>
      <c r="O479" s="27">
        <f t="shared" si="124"/>
        <v>0</v>
      </c>
      <c r="P479" s="3">
        <v>477</v>
      </c>
      <c r="Q479" s="3" t="e">
        <f t="shared" si="128"/>
        <v>#N/A</v>
      </c>
      <c r="R479" s="3" t="e">
        <f t="shared" si="129"/>
        <v>#N/A</v>
      </c>
      <c r="T479" s="46" t="str">
        <f t="shared" si="125"/>
        <v/>
      </c>
      <c r="U479" s="48" t="str">
        <f t="shared" si="126"/>
        <v/>
      </c>
      <c r="W479" s="56">
        <f t="shared" si="117"/>
        <v>0</v>
      </c>
      <c r="X479" s="57" t="str">
        <f t="shared" si="118"/>
        <v/>
      </c>
      <c r="Y479" s="58">
        <f t="shared" si="119"/>
        <v>0</v>
      </c>
      <c r="AA479" s="62" t="str">
        <f t="shared" si="130"/>
        <v/>
      </c>
    </row>
    <row r="480" spans="3:27">
      <c r="C480" s="82"/>
      <c r="E480" s="30" t="str">
        <f t="shared" si="127"/>
        <v>00:00:00</v>
      </c>
      <c r="F480" s="36" t="str">
        <f t="shared" si="120"/>
        <v/>
      </c>
      <c r="G480" s="36">
        <f t="shared" si="121"/>
        <v>0</v>
      </c>
      <c r="H480" s="3" t="str">
        <f t="shared" si="122"/>
        <v/>
      </c>
      <c r="I480" s="3">
        <f t="shared" si="123"/>
        <v>0</v>
      </c>
      <c r="L480" s="35">
        <f t="shared" si="131"/>
        <v>1</v>
      </c>
      <c r="O480" s="27">
        <f t="shared" si="124"/>
        <v>0</v>
      </c>
      <c r="P480" s="3">
        <v>478</v>
      </c>
      <c r="Q480" s="3" t="e">
        <f t="shared" si="128"/>
        <v>#N/A</v>
      </c>
      <c r="R480" s="3" t="e">
        <f t="shared" si="129"/>
        <v>#N/A</v>
      </c>
      <c r="T480" s="46" t="str">
        <f t="shared" si="125"/>
        <v/>
      </c>
      <c r="U480" s="48" t="str">
        <f t="shared" si="126"/>
        <v/>
      </c>
      <c r="W480" s="56">
        <f t="shared" si="117"/>
        <v>0</v>
      </c>
      <c r="X480" s="57" t="str">
        <f t="shared" si="118"/>
        <v/>
      </c>
      <c r="Y480" s="58">
        <f t="shared" si="119"/>
        <v>0</v>
      </c>
      <c r="AA480" s="62" t="str">
        <f t="shared" si="130"/>
        <v/>
      </c>
    </row>
    <row r="481" spans="3:27">
      <c r="C481" s="82"/>
      <c r="E481" s="30" t="str">
        <f t="shared" si="127"/>
        <v>00:00:00</v>
      </c>
      <c r="F481" s="36" t="str">
        <f t="shared" si="120"/>
        <v/>
      </c>
      <c r="G481" s="36">
        <f t="shared" si="121"/>
        <v>0</v>
      </c>
      <c r="H481" s="3" t="str">
        <f t="shared" si="122"/>
        <v/>
      </c>
      <c r="I481" s="3">
        <f t="shared" si="123"/>
        <v>0</v>
      </c>
      <c r="L481" s="35">
        <f t="shared" si="131"/>
        <v>1</v>
      </c>
      <c r="O481" s="27">
        <f t="shared" si="124"/>
        <v>0</v>
      </c>
      <c r="P481" s="3">
        <v>479</v>
      </c>
      <c r="Q481" s="3" t="e">
        <f t="shared" si="128"/>
        <v>#N/A</v>
      </c>
      <c r="R481" s="3" t="e">
        <f t="shared" si="129"/>
        <v>#N/A</v>
      </c>
      <c r="T481" s="46" t="str">
        <f t="shared" si="125"/>
        <v/>
      </c>
      <c r="U481" s="48" t="str">
        <f t="shared" si="126"/>
        <v/>
      </c>
      <c r="W481" s="56">
        <f t="shared" si="117"/>
        <v>0</v>
      </c>
      <c r="X481" s="57" t="str">
        <f t="shared" si="118"/>
        <v/>
      </c>
      <c r="Y481" s="58">
        <f t="shared" si="119"/>
        <v>0</v>
      </c>
      <c r="AA481" s="62" t="str">
        <f t="shared" si="130"/>
        <v/>
      </c>
    </row>
    <row r="482" spans="3:27">
      <c r="C482" s="82"/>
      <c r="E482" s="30" t="str">
        <f t="shared" si="127"/>
        <v>00:00:00</v>
      </c>
      <c r="F482" s="36" t="str">
        <f t="shared" si="120"/>
        <v/>
      </c>
      <c r="G482" s="36">
        <f t="shared" si="121"/>
        <v>0</v>
      </c>
      <c r="H482" s="3" t="str">
        <f t="shared" si="122"/>
        <v/>
      </c>
      <c r="I482" s="3">
        <f t="shared" si="123"/>
        <v>0</v>
      </c>
      <c r="L482" s="35">
        <f t="shared" si="131"/>
        <v>1</v>
      </c>
      <c r="O482" s="27">
        <f t="shared" si="124"/>
        <v>0</v>
      </c>
      <c r="P482" s="3">
        <v>480</v>
      </c>
      <c r="Q482" s="3" t="e">
        <f t="shared" si="128"/>
        <v>#N/A</v>
      </c>
      <c r="R482" s="3" t="e">
        <f t="shared" si="129"/>
        <v>#N/A</v>
      </c>
      <c r="T482" s="46" t="str">
        <f t="shared" si="125"/>
        <v/>
      </c>
      <c r="U482" s="48" t="str">
        <f t="shared" si="126"/>
        <v/>
      </c>
      <c r="W482" s="56">
        <f t="shared" si="117"/>
        <v>0</v>
      </c>
      <c r="X482" s="57" t="str">
        <f t="shared" si="118"/>
        <v/>
      </c>
      <c r="Y482" s="58">
        <f t="shared" si="119"/>
        <v>0</v>
      </c>
      <c r="AA482" s="62" t="str">
        <f t="shared" si="130"/>
        <v/>
      </c>
    </row>
    <row r="483" spans="3:27">
      <c r="C483" s="82"/>
      <c r="E483" s="30" t="str">
        <f t="shared" si="127"/>
        <v>00:00:00</v>
      </c>
      <c r="F483" s="36" t="str">
        <f t="shared" si="120"/>
        <v/>
      </c>
      <c r="G483" s="36">
        <f t="shared" si="121"/>
        <v>0</v>
      </c>
      <c r="H483" s="3" t="str">
        <f t="shared" si="122"/>
        <v/>
      </c>
      <c r="I483" s="3">
        <f t="shared" si="123"/>
        <v>0</v>
      </c>
      <c r="L483" s="35">
        <f t="shared" si="131"/>
        <v>1</v>
      </c>
      <c r="O483" s="27">
        <f t="shared" si="124"/>
        <v>0</v>
      </c>
      <c r="P483" s="3">
        <v>481</v>
      </c>
      <c r="Q483" s="3" t="e">
        <f t="shared" si="128"/>
        <v>#N/A</v>
      </c>
      <c r="R483" s="3" t="e">
        <f t="shared" si="129"/>
        <v>#N/A</v>
      </c>
      <c r="T483" s="46" t="str">
        <f t="shared" si="125"/>
        <v/>
      </c>
      <c r="U483" s="48" t="str">
        <f t="shared" si="126"/>
        <v/>
      </c>
      <c r="W483" s="56">
        <f t="shared" si="117"/>
        <v>0</v>
      </c>
      <c r="X483" s="57" t="str">
        <f t="shared" si="118"/>
        <v/>
      </c>
      <c r="Y483" s="58">
        <f t="shared" si="119"/>
        <v>0</v>
      </c>
      <c r="AA483" s="62" t="str">
        <f t="shared" si="130"/>
        <v/>
      </c>
    </row>
    <row r="484" spans="3:27">
      <c r="C484" s="82"/>
      <c r="E484" s="30" t="str">
        <f t="shared" si="127"/>
        <v>00:00:00</v>
      </c>
      <c r="F484" s="36" t="str">
        <f t="shared" si="120"/>
        <v/>
      </c>
      <c r="G484" s="36">
        <f t="shared" si="121"/>
        <v>0</v>
      </c>
      <c r="H484" s="3" t="str">
        <f t="shared" si="122"/>
        <v/>
      </c>
      <c r="I484" s="3">
        <f t="shared" si="123"/>
        <v>0</v>
      </c>
      <c r="L484" s="35">
        <f t="shared" si="131"/>
        <v>1</v>
      </c>
      <c r="O484" s="27">
        <f t="shared" si="124"/>
        <v>0</v>
      </c>
      <c r="P484" s="3">
        <v>482</v>
      </c>
      <c r="Q484" s="3" t="e">
        <f t="shared" si="128"/>
        <v>#N/A</v>
      </c>
      <c r="R484" s="3" t="e">
        <f t="shared" si="129"/>
        <v>#N/A</v>
      </c>
      <c r="T484" s="46" t="str">
        <f t="shared" si="125"/>
        <v/>
      </c>
      <c r="U484" s="48" t="str">
        <f t="shared" si="126"/>
        <v/>
      </c>
      <c r="W484" s="56">
        <f t="shared" si="117"/>
        <v>0</v>
      </c>
      <c r="X484" s="57" t="str">
        <f t="shared" si="118"/>
        <v/>
      </c>
      <c r="Y484" s="58">
        <f t="shared" si="119"/>
        <v>0</v>
      </c>
      <c r="AA484" s="62" t="str">
        <f t="shared" si="130"/>
        <v/>
      </c>
    </row>
    <row r="485" spans="3:27">
      <c r="C485" s="82"/>
      <c r="E485" s="30" t="str">
        <f t="shared" si="127"/>
        <v>00:00:00</v>
      </c>
      <c r="F485" s="36" t="str">
        <f t="shared" si="120"/>
        <v/>
      </c>
      <c r="G485" s="36">
        <f t="shared" si="121"/>
        <v>0</v>
      </c>
      <c r="H485" s="3" t="str">
        <f t="shared" si="122"/>
        <v/>
      </c>
      <c r="I485" s="3">
        <f t="shared" si="123"/>
        <v>0</v>
      </c>
      <c r="L485" s="35">
        <f t="shared" si="131"/>
        <v>1</v>
      </c>
      <c r="O485" s="27">
        <f t="shared" si="124"/>
        <v>0</v>
      </c>
      <c r="P485" s="3">
        <v>483</v>
      </c>
      <c r="Q485" s="3" t="e">
        <f t="shared" si="128"/>
        <v>#N/A</v>
      </c>
      <c r="R485" s="3" t="e">
        <f t="shared" si="129"/>
        <v>#N/A</v>
      </c>
      <c r="T485" s="46" t="str">
        <f t="shared" si="125"/>
        <v/>
      </c>
      <c r="U485" s="48" t="str">
        <f t="shared" si="126"/>
        <v/>
      </c>
      <c r="W485" s="56">
        <f t="shared" si="117"/>
        <v>0</v>
      </c>
      <c r="X485" s="57" t="str">
        <f t="shared" si="118"/>
        <v/>
      </c>
      <c r="Y485" s="58">
        <f t="shared" si="119"/>
        <v>0</v>
      </c>
      <c r="AA485" s="62" t="str">
        <f t="shared" si="130"/>
        <v/>
      </c>
    </row>
    <row r="486" spans="3:27">
      <c r="C486" s="82"/>
      <c r="E486" s="30" t="str">
        <f t="shared" si="127"/>
        <v>00:00:00</v>
      </c>
      <c r="F486" s="36" t="str">
        <f t="shared" si="120"/>
        <v/>
      </c>
      <c r="G486" s="36">
        <f t="shared" si="121"/>
        <v>0</v>
      </c>
      <c r="H486" s="3" t="str">
        <f t="shared" si="122"/>
        <v/>
      </c>
      <c r="I486" s="3">
        <f t="shared" si="123"/>
        <v>0</v>
      </c>
      <c r="L486" s="35">
        <f t="shared" si="131"/>
        <v>1</v>
      </c>
      <c r="O486" s="27">
        <f t="shared" si="124"/>
        <v>0</v>
      </c>
      <c r="P486" s="3">
        <v>484</v>
      </c>
      <c r="Q486" s="3" t="e">
        <f t="shared" si="128"/>
        <v>#N/A</v>
      </c>
      <c r="R486" s="3" t="e">
        <f t="shared" si="129"/>
        <v>#N/A</v>
      </c>
      <c r="T486" s="46" t="str">
        <f t="shared" si="125"/>
        <v/>
      </c>
      <c r="U486" s="48" t="str">
        <f t="shared" si="126"/>
        <v/>
      </c>
      <c r="W486" s="56">
        <f t="shared" si="117"/>
        <v>0</v>
      </c>
      <c r="X486" s="57" t="str">
        <f t="shared" si="118"/>
        <v/>
      </c>
      <c r="Y486" s="58">
        <f t="shared" si="119"/>
        <v>0</v>
      </c>
      <c r="AA486" s="62" t="str">
        <f t="shared" si="130"/>
        <v/>
      </c>
    </row>
    <row r="487" spans="3:27">
      <c r="C487" s="82"/>
      <c r="E487" s="30" t="str">
        <f t="shared" si="127"/>
        <v>00:00:00</v>
      </c>
      <c r="F487" s="36" t="str">
        <f t="shared" si="120"/>
        <v/>
      </c>
      <c r="G487" s="36">
        <f t="shared" si="121"/>
        <v>0</v>
      </c>
      <c r="H487" s="3" t="str">
        <f t="shared" si="122"/>
        <v/>
      </c>
      <c r="I487" s="3">
        <f t="shared" si="123"/>
        <v>0</v>
      </c>
      <c r="L487" s="35">
        <f t="shared" si="131"/>
        <v>1</v>
      </c>
      <c r="O487" s="27">
        <f t="shared" si="124"/>
        <v>0</v>
      </c>
      <c r="P487" s="3">
        <v>485</v>
      </c>
      <c r="Q487" s="3" t="e">
        <f t="shared" si="128"/>
        <v>#N/A</v>
      </c>
      <c r="R487" s="3" t="e">
        <f t="shared" si="129"/>
        <v>#N/A</v>
      </c>
      <c r="T487" s="46" t="str">
        <f t="shared" si="125"/>
        <v/>
      </c>
      <c r="U487" s="48" t="str">
        <f t="shared" si="126"/>
        <v/>
      </c>
      <c r="W487" s="56">
        <f t="shared" si="117"/>
        <v>0</v>
      </c>
      <c r="X487" s="57" t="str">
        <f t="shared" si="118"/>
        <v/>
      </c>
      <c r="Y487" s="58">
        <f t="shared" si="119"/>
        <v>0</v>
      </c>
      <c r="AA487" s="62" t="str">
        <f t="shared" si="130"/>
        <v/>
      </c>
    </row>
    <row r="488" spans="3:27">
      <c r="C488" s="82"/>
      <c r="E488" s="30" t="str">
        <f t="shared" si="127"/>
        <v>00:00:00</v>
      </c>
      <c r="F488" s="36" t="str">
        <f t="shared" si="120"/>
        <v/>
      </c>
      <c r="G488" s="36">
        <f t="shared" si="121"/>
        <v>0</v>
      </c>
      <c r="H488" s="3" t="str">
        <f t="shared" si="122"/>
        <v/>
      </c>
      <c r="I488" s="3">
        <f t="shared" si="123"/>
        <v>0</v>
      </c>
      <c r="L488" s="35">
        <f t="shared" si="131"/>
        <v>1</v>
      </c>
      <c r="O488" s="27">
        <f t="shared" si="124"/>
        <v>0</v>
      </c>
      <c r="P488" s="3">
        <v>486</v>
      </c>
      <c r="Q488" s="3" t="e">
        <f t="shared" si="128"/>
        <v>#N/A</v>
      </c>
      <c r="R488" s="3" t="e">
        <f t="shared" si="129"/>
        <v>#N/A</v>
      </c>
      <c r="T488" s="46" t="str">
        <f t="shared" si="125"/>
        <v/>
      </c>
      <c r="U488" s="48" t="str">
        <f t="shared" si="126"/>
        <v/>
      </c>
      <c r="W488" s="56">
        <f t="shared" si="117"/>
        <v>0</v>
      </c>
      <c r="X488" s="57" t="str">
        <f t="shared" si="118"/>
        <v/>
      </c>
      <c r="Y488" s="58">
        <f t="shared" si="119"/>
        <v>0</v>
      </c>
      <c r="AA488" s="62" t="str">
        <f t="shared" si="130"/>
        <v/>
      </c>
    </row>
    <row r="489" spans="3:27">
      <c r="C489" s="82"/>
      <c r="E489" s="30" t="str">
        <f t="shared" si="127"/>
        <v>00:00:00</v>
      </c>
      <c r="F489" s="36" t="str">
        <f t="shared" si="120"/>
        <v/>
      </c>
      <c r="G489" s="36">
        <f t="shared" si="121"/>
        <v>0</v>
      </c>
      <c r="H489" s="3" t="str">
        <f t="shared" si="122"/>
        <v/>
      </c>
      <c r="I489" s="3">
        <f t="shared" si="123"/>
        <v>0</v>
      </c>
      <c r="L489" s="35">
        <f t="shared" si="131"/>
        <v>1</v>
      </c>
      <c r="O489" s="27">
        <f t="shared" si="124"/>
        <v>0</v>
      </c>
      <c r="P489" s="3">
        <v>487</v>
      </c>
      <c r="Q489" s="3" t="e">
        <f t="shared" si="128"/>
        <v>#N/A</v>
      </c>
      <c r="R489" s="3" t="e">
        <f t="shared" si="129"/>
        <v>#N/A</v>
      </c>
      <c r="T489" s="46" t="str">
        <f t="shared" si="125"/>
        <v/>
      </c>
      <c r="U489" s="48" t="str">
        <f t="shared" si="126"/>
        <v/>
      </c>
      <c r="W489" s="56">
        <f t="shared" si="117"/>
        <v>0</v>
      </c>
      <c r="X489" s="57" t="str">
        <f t="shared" si="118"/>
        <v/>
      </c>
      <c r="Y489" s="58">
        <f t="shared" si="119"/>
        <v>0</v>
      </c>
      <c r="AA489" s="62" t="str">
        <f t="shared" si="130"/>
        <v/>
      </c>
    </row>
    <row r="490" spans="3:27">
      <c r="C490" s="82"/>
      <c r="E490" s="30" t="str">
        <f t="shared" si="127"/>
        <v>00:00:00</v>
      </c>
      <c r="F490" s="36" t="str">
        <f t="shared" si="120"/>
        <v/>
      </c>
      <c r="G490" s="36">
        <f t="shared" si="121"/>
        <v>0</v>
      </c>
      <c r="H490" s="3" t="str">
        <f t="shared" si="122"/>
        <v/>
      </c>
      <c r="I490" s="3">
        <f t="shared" si="123"/>
        <v>0</v>
      </c>
      <c r="L490" s="35">
        <f t="shared" si="131"/>
        <v>1</v>
      </c>
      <c r="O490" s="27">
        <f t="shared" si="124"/>
        <v>0</v>
      </c>
      <c r="P490" s="3">
        <v>488</v>
      </c>
      <c r="Q490" s="3" t="e">
        <f t="shared" si="128"/>
        <v>#N/A</v>
      </c>
      <c r="R490" s="3" t="e">
        <f t="shared" si="129"/>
        <v>#N/A</v>
      </c>
      <c r="T490" s="46" t="str">
        <f t="shared" si="125"/>
        <v/>
      </c>
      <c r="U490" s="48" t="str">
        <f t="shared" si="126"/>
        <v/>
      </c>
      <c r="W490" s="56">
        <f t="shared" si="117"/>
        <v>0</v>
      </c>
      <c r="X490" s="57" t="str">
        <f t="shared" si="118"/>
        <v/>
      </c>
      <c r="Y490" s="58">
        <f t="shared" si="119"/>
        <v>0</v>
      </c>
      <c r="AA490" s="62" t="str">
        <f t="shared" si="130"/>
        <v/>
      </c>
    </row>
    <row r="491" spans="3:27">
      <c r="C491" s="82"/>
      <c r="E491" s="30" t="str">
        <f t="shared" si="127"/>
        <v>00:00:00</v>
      </c>
      <c r="F491" s="36" t="str">
        <f t="shared" si="120"/>
        <v/>
      </c>
      <c r="G491" s="36">
        <f t="shared" si="121"/>
        <v>0</v>
      </c>
      <c r="H491" s="3" t="str">
        <f t="shared" si="122"/>
        <v/>
      </c>
      <c r="I491" s="3">
        <f t="shared" si="123"/>
        <v>0</v>
      </c>
      <c r="L491" s="35">
        <f t="shared" si="131"/>
        <v>1</v>
      </c>
      <c r="O491" s="27">
        <f t="shared" si="124"/>
        <v>0</v>
      </c>
      <c r="P491" s="3">
        <v>489</v>
      </c>
      <c r="Q491" s="3" t="e">
        <f t="shared" si="128"/>
        <v>#N/A</v>
      </c>
      <c r="R491" s="3" t="e">
        <f t="shared" si="129"/>
        <v>#N/A</v>
      </c>
      <c r="T491" s="46" t="str">
        <f t="shared" si="125"/>
        <v/>
      </c>
      <c r="U491" s="48" t="str">
        <f t="shared" si="126"/>
        <v/>
      </c>
      <c r="W491" s="56">
        <f t="shared" si="117"/>
        <v>0</v>
      </c>
      <c r="X491" s="57" t="str">
        <f t="shared" si="118"/>
        <v/>
      </c>
      <c r="Y491" s="58">
        <f t="shared" si="119"/>
        <v>0</v>
      </c>
      <c r="AA491" s="62" t="str">
        <f t="shared" si="130"/>
        <v/>
      </c>
    </row>
    <row r="492" spans="3:27">
      <c r="C492" s="82"/>
      <c r="E492" s="30" t="str">
        <f t="shared" si="127"/>
        <v>00:00:00</v>
      </c>
      <c r="F492" s="36" t="str">
        <f t="shared" si="120"/>
        <v/>
      </c>
      <c r="G492" s="36">
        <f t="shared" si="121"/>
        <v>0</v>
      </c>
      <c r="H492" s="3" t="str">
        <f t="shared" si="122"/>
        <v/>
      </c>
      <c r="I492" s="3">
        <f t="shared" si="123"/>
        <v>0</v>
      </c>
      <c r="L492" s="35">
        <f t="shared" si="131"/>
        <v>1</v>
      </c>
      <c r="O492" s="27">
        <f t="shared" si="124"/>
        <v>0</v>
      </c>
      <c r="P492" s="3">
        <v>490</v>
      </c>
      <c r="Q492" s="3" t="e">
        <f t="shared" si="128"/>
        <v>#N/A</v>
      </c>
      <c r="R492" s="3" t="e">
        <f t="shared" si="129"/>
        <v>#N/A</v>
      </c>
      <c r="T492" s="46" t="str">
        <f t="shared" si="125"/>
        <v/>
      </c>
      <c r="U492" s="48" t="str">
        <f t="shared" si="126"/>
        <v/>
      </c>
      <c r="W492" s="56">
        <f t="shared" si="117"/>
        <v>0</v>
      </c>
      <c r="X492" s="57" t="str">
        <f t="shared" si="118"/>
        <v/>
      </c>
      <c r="Y492" s="58">
        <f t="shared" si="119"/>
        <v>0</v>
      </c>
      <c r="AA492" s="62" t="str">
        <f t="shared" si="130"/>
        <v/>
      </c>
    </row>
    <row r="493" spans="3:27">
      <c r="C493" s="82"/>
      <c r="E493" s="30" t="str">
        <f t="shared" si="127"/>
        <v>00:00:00</v>
      </c>
      <c r="F493" s="36" t="str">
        <f t="shared" si="120"/>
        <v/>
      </c>
      <c r="G493" s="36">
        <f t="shared" si="121"/>
        <v>0</v>
      </c>
      <c r="H493" s="3" t="str">
        <f t="shared" si="122"/>
        <v/>
      </c>
      <c r="I493" s="3">
        <f t="shared" si="123"/>
        <v>0</v>
      </c>
      <c r="L493" s="35">
        <f t="shared" si="131"/>
        <v>1</v>
      </c>
      <c r="O493" s="27">
        <f t="shared" si="124"/>
        <v>0</v>
      </c>
      <c r="P493" s="3">
        <v>491</v>
      </c>
      <c r="Q493" s="3" t="e">
        <f t="shared" si="128"/>
        <v>#N/A</v>
      </c>
      <c r="R493" s="3" t="e">
        <f t="shared" si="129"/>
        <v>#N/A</v>
      </c>
      <c r="T493" s="46" t="str">
        <f t="shared" si="125"/>
        <v/>
      </c>
      <c r="U493" s="48" t="str">
        <f t="shared" si="126"/>
        <v/>
      </c>
      <c r="W493" s="56">
        <f t="shared" si="117"/>
        <v>0</v>
      </c>
      <c r="X493" s="57" t="str">
        <f t="shared" si="118"/>
        <v/>
      </c>
      <c r="Y493" s="58">
        <f t="shared" si="119"/>
        <v>0</v>
      </c>
      <c r="AA493" s="62" t="str">
        <f t="shared" si="130"/>
        <v/>
      </c>
    </row>
    <row r="494" spans="3:27">
      <c r="C494" s="82"/>
      <c r="E494" s="30" t="str">
        <f t="shared" si="127"/>
        <v>00:00:00</v>
      </c>
      <c r="F494" s="36" t="str">
        <f t="shared" si="120"/>
        <v/>
      </c>
      <c r="G494" s="36">
        <f t="shared" si="121"/>
        <v>0</v>
      </c>
      <c r="H494" s="3" t="str">
        <f t="shared" si="122"/>
        <v/>
      </c>
      <c r="I494" s="3">
        <f t="shared" si="123"/>
        <v>0</v>
      </c>
      <c r="L494" s="35">
        <f t="shared" si="131"/>
        <v>1</v>
      </c>
      <c r="O494" s="27">
        <f t="shared" si="124"/>
        <v>0</v>
      </c>
      <c r="P494" s="3">
        <v>492</v>
      </c>
      <c r="Q494" s="3" t="e">
        <f t="shared" si="128"/>
        <v>#N/A</v>
      </c>
      <c r="R494" s="3" t="e">
        <f t="shared" si="129"/>
        <v>#N/A</v>
      </c>
      <c r="T494" s="46" t="str">
        <f t="shared" si="125"/>
        <v/>
      </c>
      <c r="U494" s="48" t="str">
        <f t="shared" si="126"/>
        <v/>
      </c>
      <c r="W494" s="56">
        <f t="shared" si="117"/>
        <v>0</v>
      </c>
      <c r="X494" s="57" t="str">
        <f t="shared" si="118"/>
        <v/>
      </c>
      <c r="Y494" s="58">
        <f t="shared" si="119"/>
        <v>0</v>
      </c>
      <c r="AA494" s="62" t="str">
        <f t="shared" si="130"/>
        <v/>
      </c>
    </row>
    <row r="495" spans="3:27">
      <c r="C495" s="82"/>
      <c r="E495" s="30" t="str">
        <f t="shared" si="127"/>
        <v>00:00:00</v>
      </c>
      <c r="F495" s="36" t="str">
        <f t="shared" si="120"/>
        <v/>
      </c>
      <c r="G495" s="36">
        <f t="shared" si="121"/>
        <v>0</v>
      </c>
      <c r="H495" s="3" t="str">
        <f t="shared" si="122"/>
        <v/>
      </c>
      <c r="I495" s="3">
        <f t="shared" si="123"/>
        <v>0</v>
      </c>
      <c r="L495" s="35">
        <f t="shared" si="131"/>
        <v>1</v>
      </c>
      <c r="O495" s="27">
        <f t="shared" si="124"/>
        <v>0</v>
      </c>
      <c r="P495" s="3">
        <v>493</v>
      </c>
      <c r="Q495" s="3" t="e">
        <f t="shared" si="128"/>
        <v>#N/A</v>
      </c>
      <c r="R495" s="3" t="e">
        <f t="shared" si="129"/>
        <v>#N/A</v>
      </c>
      <c r="T495" s="46" t="str">
        <f t="shared" si="125"/>
        <v/>
      </c>
      <c r="U495" s="48" t="str">
        <f t="shared" si="126"/>
        <v/>
      </c>
      <c r="W495" s="56">
        <f t="shared" si="117"/>
        <v>0</v>
      </c>
      <c r="X495" s="57" t="str">
        <f t="shared" si="118"/>
        <v/>
      </c>
      <c r="Y495" s="58">
        <f t="shared" si="119"/>
        <v>0</v>
      </c>
      <c r="AA495" s="62" t="str">
        <f t="shared" si="130"/>
        <v/>
      </c>
    </row>
    <row r="496" spans="3:27">
      <c r="C496" s="82"/>
      <c r="E496" s="30" t="str">
        <f t="shared" si="127"/>
        <v>00:00:00</v>
      </c>
      <c r="F496" s="36" t="str">
        <f t="shared" si="120"/>
        <v/>
      </c>
      <c r="G496" s="36">
        <f t="shared" si="121"/>
        <v>0</v>
      </c>
      <c r="H496" s="3" t="str">
        <f t="shared" si="122"/>
        <v/>
      </c>
      <c r="I496" s="3">
        <f t="shared" si="123"/>
        <v>0</v>
      </c>
      <c r="L496" s="35">
        <f t="shared" si="131"/>
        <v>1</v>
      </c>
      <c r="O496" s="27">
        <f t="shared" si="124"/>
        <v>0</v>
      </c>
      <c r="P496" s="3">
        <v>494</v>
      </c>
      <c r="Q496" s="3" t="e">
        <f t="shared" si="128"/>
        <v>#N/A</v>
      </c>
      <c r="R496" s="3" t="e">
        <f t="shared" si="129"/>
        <v>#N/A</v>
      </c>
      <c r="T496" s="46" t="str">
        <f t="shared" si="125"/>
        <v/>
      </c>
      <c r="U496" s="48" t="str">
        <f t="shared" si="126"/>
        <v/>
      </c>
      <c r="W496" s="56">
        <f t="shared" si="117"/>
        <v>0</v>
      </c>
      <c r="X496" s="57" t="str">
        <f t="shared" si="118"/>
        <v/>
      </c>
      <c r="Y496" s="58">
        <f t="shared" si="119"/>
        <v>0</v>
      </c>
      <c r="AA496" s="62" t="str">
        <f t="shared" si="130"/>
        <v/>
      </c>
    </row>
    <row r="497" spans="3:27">
      <c r="C497" s="82"/>
      <c r="E497" s="30" t="str">
        <f t="shared" si="127"/>
        <v>00:00:00</v>
      </c>
      <c r="F497" s="36" t="str">
        <f t="shared" si="120"/>
        <v/>
      </c>
      <c r="G497" s="36">
        <f t="shared" si="121"/>
        <v>0</v>
      </c>
      <c r="H497" s="3" t="str">
        <f t="shared" si="122"/>
        <v/>
      </c>
      <c r="I497" s="3">
        <f t="shared" si="123"/>
        <v>0</v>
      </c>
      <c r="L497" s="35">
        <f t="shared" si="131"/>
        <v>1</v>
      </c>
      <c r="O497" s="27">
        <f t="shared" si="124"/>
        <v>0</v>
      </c>
      <c r="P497" s="3">
        <v>495</v>
      </c>
      <c r="Q497" s="3" t="e">
        <f t="shared" si="128"/>
        <v>#N/A</v>
      </c>
      <c r="R497" s="3" t="e">
        <f t="shared" si="129"/>
        <v>#N/A</v>
      </c>
      <c r="T497" s="46" t="str">
        <f t="shared" si="125"/>
        <v/>
      </c>
      <c r="U497" s="48" t="str">
        <f t="shared" si="126"/>
        <v/>
      </c>
      <c r="W497" s="56">
        <f t="shared" si="117"/>
        <v>0</v>
      </c>
      <c r="X497" s="57" t="str">
        <f t="shared" si="118"/>
        <v/>
      </c>
      <c r="Y497" s="58">
        <f t="shared" si="119"/>
        <v>0</v>
      </c>
      <c r="AA497" s="62" t="str">
        <f t="shared" si="130"/>
        <v/>
      </c>
    </row>
    <row r="498" spans="3:27">
      <c r="C498" s="82"/>
      <c r="E498" s="30" t="str">
        <f t="shared" si="127"/>
        <v>00:00:00</v>
      </c>
      <c r="F498" s="36" t="str">
        <f t="shared" si="120"/>
        <v/>
      </c>
      <c r="G498" s="36">
        <f t="shared" si="121"/>
        <v>0</v>
      </c>
      <c r="H498" s="3" t="str">
        <f t="shared" si="122"/>
        <v/>
      </c>
      <c r="I498" s="3">
        <f t="shared" si="123"/>
        <v>0</v>
      </c>
      <c r="L498" s="35">
        <f t="shared" si="131"/>
        <v>1</v>
      </c>
      <c r="O498" s="27">
        <f t="shared" si="124"/>
        <v>0</v>
      </c>
      <c r="P498" s="3">
        <v>496</v>
      </c>
      <c r="Q498" s="3" t="e">
        <f t="shared" si="128"/>
        <v>#N/A</v>
      </c>
      <c r="R498" s="3" t="e">
        <f t="shared" si="129"/>
        <v>#N/A</v>
      </c>
      <c r="T498" s="46" t="str">
        <f t="shared" si="125"/>
        <v/>
      </c>
      <c r="U498" s="48" t="str">
        <f t="shared" si="126"/>
        <v/>
      </c>
      <c r="W498" s="56">
        <f t="shared" si="117"/>
        <v>0</v>
      </c>
      <c r="X498" s="57" t="str">
        <f t="shared" si="118"/>
        <v/>
      </c>
      <c r="Y498" s="58">
        <f t="shared" si="119"/>
        <v>0</v>
      </c>
      <c r="AA498" s="62" t="str">
        <f t="shared" si="130"/>
        <v/>
      </c>
    </row>
    <row r="499" spans="3:27">
      <c r="C499" s="82"/>
      <c r="E499" s="30" t="str">
        <f t="shared" si="127"/>
        <v>00:00:00</v>
      </c>
      <c r="F499" s="36" t="str">
        <f t="shared" si="120"/>
        <v/>
      </c>
      <c r="G499" s="36">
        <f t="shared" si="121"/>
        <v>0</v>
      </c>
      <c r="H499" s="3" t="str">
        <f t="shared" si="122"/>
        <v/>
      </c>
      <c r="I499" s="3">
        <f t="shared" si="123"/>
        <v>0</v>
      </c>
      <c r="L499" s="35">
        <f t="shared" si="131"/>
        <v>1</v>
      </c>
      <c r="O499" s="27">
        <f t="shared" si="124"/>
        <v>0</v>
      </c>
      <c r="P499" s="3">
        <v>497</v>
      </c>
      <c r="Q499" s="3" t="e">
        <f t="shared" si="128"/>
        <v>#N/A</v>
      </c>
      <c r="R499" s="3" t="e">
        <f t="shared" si="129"/>
        <v>#N/A</v>
      </c>
      <c r="T499" s="46" t="str">
        <f t="shared" si="125"/>
        <v/>
      </c>
      <c r="U499" s="48" t="str">
        <f t="shared" si="126"/>
        <v/>
      </c>
      <c r="W499" s="56">
        <f t="shared" si="117"/>
        <v>0</v>
      </c>
      <c r="X499" s="57" t="str">
        <f t="shared" si="118"/>
        <v/>
      </c>
      <c r="Y499" s="58">
        <f t="shared" si="119"/>
        <v>0</v>
      </c>
      <c r="AA499" s="62" t="str">
        <f t="shared" si="130"/>
        <v/>
      </c>
    </row>
    <row r="500" spans="3:27">
      <c r="C500" s="82"/>
      <c r="E500" s="30" t="str">
        <f t="shared" si="127"/>
        <v>00:00:00</v>
      </c>
      <c r="F500" s="36" t="str">
        <f t="shared" si="120"/>
        <v/>
      </c>
      <c r="G500" s="36">
        <f t="shared" si="121"/>
        <v>0</v>
      </c>
      <c r="H500" s="3" t="str">
        <f t="shared" si="122"/>
        <v/>
      </c>
      <c r="I500" s="3">
        <f t="shared" si="123"/>
        <v>0</v>
      </c>
      <c r="L500" s="35">
        <f t="shared" si="131"/>
        <v>1</v>
      </c>
      <c r="O500" s="27">
        <f t="shared" si="124"/>
        <v>0</v>
      </c>
      <c r="P500" s="3">
        <v>498</v>
      </c>
      <c r="Q500" s="3" t="e">
        <f t="shared" si="128"/>
        <v>#N/A</v>
      </c>
      <c r="R500" s="3" t="e">
        <f t="shared" si="129"/>
        <v>#N/A</v>
      </c>
      <c r="T500" s="46" t="str">
        <f t="shared" si="125"/>
        <v/>
      </c>
      <c r="U500" s="48" t="str">
        <f t="shared" si="126"/>
        <v/>
      </c>
      <c r="W500" s="56">
        <f t="shared" si="117"/>
        <v>0</v>
      </c>
      <c r="X500" s="57" t="str">
        <f t="shared" si="118"/>
        <v/>
      </c>
      <c r="Y500" s="58">
        <f t="shared" si="119"/>
        <v>0</v>
      </c>
      <c r="AA500" s="62" t="str">
        <f t="shared" si="130"/>
        <v/>
      </c>
    </row>
    <row r="501" spans="3:27">
      <c r="C501" s="82"/>
      <c r="E501" s="30" t="str">
        <f t="shared" si="127"/>
        <v>00:00:00</v>
      </c>
      <c r="F501" s="36" t="str">
        <f t="shared" si="120"/>
        <v/>
      </c>
      <c r="G501" s="36">
        <f t="shared" si="121"/>
        <v>0</v>
      </c>
      <c r="H501" s="3" t="str">
        <f t="shared" si="122"/>
        <v/>
      </c>
      <c r="I501" s="3">
        <f t="shared" si="123"/>
        <v>0</v>
      </c>
      <c r="L501" s="35">
        <f t="shared" si="131"/>
        <v>1</v>
      </c>
      <c r="O501" s="27">
        <f t="shared" si="124"/>
        <v>0</v>
      </c>
      <c r="P501" s="3">
        <v>499</v>
      </c>
      <c r="Q501" s="3" t="e">
        <f t="shared" si="128"/>
        <v>#N/A</v>
      </c>
      <c r="R501" s="3" t="e">
        <f t="shared" si="129"/>
        <v>#N/A</v>
      </c>
      <c r="T501" s="46" t="str">
        <f t="shared" si="125"/>
        <v/>
      </c>
      <c r="U501" s="48" t="str">
        <f t="shared" si="126"/>
        <v/>
      </c>
      <c r="W501" s="56">
        <f t="shared" si="117"/>
        <v>0</v>
      </c>
      <c r="X501" s="57" t="str">
        <f t="shared" si="118"/>
        <v/>
      </c>
      <c r="Y501" s="58">
        <f t="shared" si="119"/>
        <v>0</v>
      </c>
      <c r="AA501" s="62" t="str">
        <f t="shared" si="130"/>
        <v/>
      </c>
    </row>
    <row r="502" spans="3:27">
      <c r="C502" s="82"/>
      <c r="E502" s="30" t="str">
        <f t="shared" si="127"/>
        <v>00:00:00</v>
      </c>
      <c r="F502" s="36" t="str">
        <f t="shared" si="120"/>
        <v/>
      </c>
      <c r="G502" s="36">
        <f t="shared" si="121"/>
        <v>0</v>
      </c>
      <c r="H502" s="3" t="str">
        <f t="shared" si="122"/>
        <v/>
      </c>
      <c r="I502" s="3">
        <f t="shared" si="123"/>
        <v>0</v>
      </c>
      <c r="L502" s="35">
        <f t="shared" si="131"/>
        <v>1</v>
      </c>
      <c r="O502" s="27">
        <f t="shared" si="124"/>
        <v>0</v>
      </c>
      <c r="P502" s="3">
        <v>500</v>
      </c>
      <c r="Q502" s="3" t="e">
        <f t="shared" si="128"/>
        <v>#N/A</v>
      </c>
      <c r="R502" s="3" t="e">
        <f t="shared" si="129"/>
        <v>#N/A</v>
      </c>
      <c r="T502" s="46" t="str">
        <f t="shared" si="125"/>
        <v/>
      </c>
      <c r="U502" s="48" t="str">
        <f t="shared" si="126"/>
        <v/>
      </c>
      <c r="W502" s="56">
        <f t="shared" si="117"/>
        <v>0</v>
      </c>
      <c r="X502" s="57" t="str">
        <f t="shared" si="118"/>
        <v/>
      </c>
      <c r="Y502" s="58">
        <f t="shared" si="119"/>
        <v>0</v>
      </c>
      <c r="AA502" s="62" t="str">
        <f t="shared" si="130"/>
        <v/>
      </c>
    </row>
    <row r="503" spans="3:27">
      <c r="C503" s="82"/>
      <c r="E503" s="30" t="str">
        <f t="shared" si="127"/>
        <v>00:00:00</v>
      </c>
      <c r="F503" s="36" t="str">
        <f t="shared" si="120"/>
        <v/>
      </c>
      <c r="G503" s="36">
        <f t="shared" si="121"/>
        <v>0</v>
      </c>
      <c r="H503" s="3" t="str">
        <f t="shared" si="122"/>
        <v/>
      </c>
      <c r="I503" s="3">
        <f t="shared" si="123"/>
        <v>0</v>
      </c>
      <c r="L503" s="35">
        <f t="shared" si="131"/>
        <v>1</v>
      </c>
      <c r="O503" s="27">
        <f t="shared" si="124"/>
        <v>0</v>
      </c>
      <c r="P503" s="3">
        <v>501</v>
      </c>
      <c r="Q503" s="3" t="e">
        <f t="shared" si="128"/>
        <v>#N/A</v>
      </c>
      <c r="R503" s="3" t="e">
        <f t="shared" si="129"/>
        <v>#N/A</v>
      </c>
      <c r="T503" s="46" t="str">
        <f t="shared" si="125"/>
        <v/>
      </c>
      <c r="U503" s="48" t="str">
        <f t="shared" si="126"/>
        <v/>
      </c>
      <c r="W503" s="56">
        <f t="shared" si="117"/>
        <v>0</v>
      </c>
      <c r="X503" s="57" t="str">
        <f t="shared" si="118"/>
        <v/>
      </c>
      <c r="Y503" s="58">
        <f t="shared" si="119"/>
        <v>0</v>
      </c>
      <c r="AA503" s="62" t="str">
        <f t="shared" si="130"/>
        <v/>
      </c>
    </row>
    <row r="504" spans="3:27">
      <c r="C504" s="82"/>
      <c r="E504" s="30" t="str">
        <f t="shared" si="127"/>
        <v>00:00:00</v>
      </c>
      <c r="F504" s="36" t="str">
        <f t="shared" si="120"/>
        <v/>
      </c>
      <c r="G504" s="36">
        <f t="shared" si="121"/>
        <v>0</v>
      </c>
      <c r="H504" s="3" t="str">
        <f t="shared" si="122"/>
        <v/>
      </c>
      <c r="I504" s="3">
        <f t="shared" si="123"/>
        <v>0</v>
      </c>
      <c r="L504" s="35">
        <f t="shared" si="131"/>
        <v>1</v>
      </c>
      <c r="O504" s="27">
        <f t="shared" si="124"/>
        <v>0</v>
      </c>
      <c r="P504" s="3">
        <v>502</v>
      </c>
      <c r="Q504" s="3" t="e">
        <f t="shared" si="128"/>
        <v>#N/A</v>
      </c>
      <c r="R504" s="3" t="e">
        <f t="shared" si="129"/>
        <v>#N/A</v>
      </c>
      <c r="T504" s="46" t="str">
        <f t="shared" si="125"/>
        <v/>
      </c>
      <c r="U504" s="48" t="str">
        <f t="shared" si="126"/>
        <v/>
      </c>
      <c r="W504" s="56">
        <f t="shared" si="117"/>
        <v>0</v>
      </c>
      <c r="X504" s="57" t="str">
        <f t="shared" si="118"/>
        <v/>
      </c>
      <c r="Y504" s="58">
        <f t="shared" si="119"/>
        <v>0</v>
      </c>
      <c r="AA504" s="62" t="str">
        <f t="shared" si="130"/>
        <v/>
      </c>
    </row>
    <row r="505" spans="3:27">
      <c r="C505" s="82"/>
      <c r="E505" s="30" t="str">
        <f t="shared" si="127"/>
        <v>00:00:00</v>
      </c>
      <c r="F505" s="36" t="str">
        <f t="shared" si="120"/>
        <v/>
      </c>
      <c r="G505" s="36">
        <f t="shared" si="121"/>
        <v>0</v>
      </c>
      <c r="H505" s="3" t="str">
        <f t="shared" si="122"/>
        <v/>
      </c>
      <c r="I505" s="3">
        <f t="shared" si="123"/>
        <v>0</v>
      </c>
      <c r="L505" s="35">
        <f t="shared" si="131"/>
        <v>1</v>
      </c>
      <c r="O505" s="27">
        <f t="shared" si="124"/>
        <v>0</v>
      </c>
      <c r="P505" s="3">
        <v>503</v>
      </c>
      <c r="Q505" s="3" t="e">
        <f t="shared" si="128"/>
        <v>#N/A</v>
      </c>
      <c r="R505" s="3" t="e">
        <f t="shared" si="129"/>
        <v>#N/A</v>
      </c>
      <c r="T505" s="46" t="str">
        <f t="shared" si="125"/>
        <v/>
      </c>
      <c r="U505" s="48" t="str">
        <f t="shared" si="126"/>
        <v/>
      </c>
      <c r="W505" s="56">
        <f t="shared" si="117"/>
        <v>0</v>
      </c>
      <c r="X505" s="57" t="str">
        <f t="shared" si="118"/>
        <v/>
      </c>
      <c r="Y505" s="58">
        <f t="shared" si="119"/>
        <v>0</v>
      </c>
      <c r="AA505" s="62" t="str">
        <f t="shared" si="130"/>
        <v/>
      </c>
    </row>
    <row r="506" spans="3:27">
      <c r="C506" s="82"/>
      <c r="E506" s="30" t="str">
        <f t="shared" si="127"/>
        <v>00:00:00</v>
      </c>
      <c r="F506" s="36" t="str">
        <f t="shared" si="120"/>
        <v/>
      </c>
      <c r="G506" s="36">
        <f t="shared" si="121"/>
        <v>0</v>
      </c>
      <c r="H506" s="3" t="str">
        <f t="shared" si="122"/>
        <v/>
      </c>
      <c r="I506" s="3">
        <f t="shared" si="123"/>
        <v>0</v>
      </c>
      <c r="L506" s="35">
        <f t="shared" si="131"/>
        <v>1</v>
      </c>
      <c r="O506" s="27">
        <f t="shared" si="124"/>
        <v>0</v>
      </c>
      <c r="P506" s="3">
        <v>504</v>
      </c>
      <c r="Q506" s="3" t="e">
        <f t="shared" si="128"/>
        <v>#N/A</v>
      </c>
      <c r="R506" s="3" t="e">
        <f t="shared" si="129"/>
        <v>#N/A</v>
      </c>
      <c r="T506" s="46" t="str">
        <f t="shared" si="125"/>
        <v/>
      </c>
      <c r="U506" s="48" t="str">
        <f t="shared" si="126"/>
        <v/>
      </c>
      <c r="W506" s="56">
        <f t="shared" si="117"/>
        <v>0</v>
      </c>
      <c r="X506" s="57" t="str">
        <f t="shared" si="118"/>
        <v/>
      </c>
      <c r="Y506" s="58">
        <f t="shared" si="119"/>
        <v>0</v>
      </c>
      <c r="AA506" s="62" t="str">
        <f t="shared" si="130"/>
        <v/>
      </c>
    </row>
    <row r="507" spans="3:27">
      <c r="C507" s="82"/>
      <c r="E507" s="30" t="str">
        <f t="shared" si="127"/>
        <v>00:00:00</v>
      </c>
      <c r="F507" s="36" t="str">
        <f t="shared" si="120"/>
        <v/>
      </c>
      <c r="G507" s="36">
        <f t="shared" si="121"/>
        <v>0</v>
      </c>
      <c r="H507" s="3" t="str">
        <f t="shared" si="122"/>
        <v/>
      </c>
      <c r="I507" s="3">
        <f t="shared" si="123"/>
        <v>0</v>
      </c>
      <c r="L507" s="35">
        <f t="shared" si="131"/>
        <v>1</v>
      </c>
      <c r="O507" s="27">
        <f t="shared" si="124"/>
        <v>0</v>
      </c>
      <c r="P507" s="3">
        <v>505</v>
      </c>
      <c r="Q507" s="3" t="e">
        <f t="shared" si="128"/>
        <v>#N/A</v>
      </c>
      <c r="R507" s="3" t="e">
        <f t="shared" si="129"/>
        <v>#N/A</v>
      </c>
      <c r="T507" s="46" t="str">
        <f t="shared" si="125"/>
        <v/>
      </c>
      <c r="U507" s="48" t="str">
        <f t="shared" si="126"/>
        <v/>
      </c>
      <c r="W507" s="56">
        <f t="shared" si="117"/>
        <v>0</v>
      </c>
      <c r="X507" s="57" t="str">
        <f t="shared" si="118"/>
        <v/>
      </c>
      <c r="Y507" s="58">
        <f t="shared" si="119"/>
        <v>0</v>
      </c>
      <c r="AA507" s="62" t="str">
        <f t="shared" si="130"/>
        <v/>
      </c>
    </row>
    <row r="508" spans="3:27">
      <c r="C508" s="82"/>
      <c r="E508" s="30" t="str">
        <f t="shared" si="127"/>
        <v>00:00:00</v>
      </c>
      <c r="F508" s="36" t="str">
        <f t="shared" si="120"/>
        <v/>
      </c>
      <c r="G508" s="36">
        <f t="shared" si="121"/>
        <v>0</v>
      </c>
      <c r="H508" s="3" t="str">
        <f t="shared" si="122"/>
        <v/>
      </c>
      <c r="I508" s="3">
        <f t="shared" si="123"/>
        <v>0</v>
      </c>
      <c r="L508" s="35">
        <f t="shared" si="131"/>
        <v>1</v>
      </c>
      <c r="O508" s="27">
        <f t="shared" si="124"/>
        <v>0</v>
      </c>
      <c r="P508" s="3">
        <v>506</v>
      </c>
      <c r="Q508" s="3" t="e">
        <f t="shared" si="128"/>
        <v>#N/A</v>
      </c>
      <c r="R508" s="3" t="e">
        <f t="shared" si="129"/>
        <v>#N/A</v>
      </c>
      <c r="T508" s="46" t="str">
        <f t="shared" si="125"/>
        <v/>
      </c>
      <c r="U508" s="48" t="str">
        <f t="shared" si="126"/>
        <v/>
      </c>
      <c r="W508" s="56">
        <f t="shared" si="117"/>
        <v>0</v>
      </c>
      <c r="X508" s="57" t="str">
        <f t="shared" si="118"/>
        <v/>
      </c>
      <c r="Y508" s="58">
        <f t="shared" si="119"/>
        <v>0</v>
      </c>
      <c r="AA508" s="62" t="str">
        <f t="shared" si="130"/>
        <v/>
      </c>
    </row>
    <row r="509" spans="3:27">
      <c r="C509" s="82"/>
      <c r="E509" s="30" t="str">
        <f t="shared" si="127"/>
        <v>00:00:00</v>
      </c>
      <c r="F509" s="36" t="str">
        <f t="shared" si="120"/>
        <v/>
      </c>
      <c r="G509" s="36">
        <f t="shared" si="121"/>
        <v>0</v>
      </c>
      <c r="H509" s="3" t="str">
        <f t="shared" si="122"/>
        <v/>
      </c>
      <c r="I509" s="3">
        <f t="shared" si="123"/>
        <v>0</v>
      </c>
      <c r="L509" s="35">
        <f t="shared" si="131"/>
        <v>1</v>
      </c>
      <c r="O509" s="27">
        <f t="shared" si="124"/>
        <v>0</v>
      </c>
      <c r="P509" s="3">
        <v>507</v>
      </c>
      <c r="Q509" s="3" t="e">
        <f t="shared" si="128"/>
        <v>#N/A</v>
      </c>
      <c r="R509" s="3" t="e">
        <f t="shared" si="129"/>
        <v>#N/A</v>
      </c>
      <c r="T509" s="46" t="str">
        <f t="shared" si="125"/>
        <v/>
      </c>
      <c r="U509" s="48" t="str">
        <f t="shared" si="126"/>
        <v/>
      </c>
      <c r="W509" s="56">
        <f t="shared" si="117"/>
        <v>0</v>
      </c>
      <c r="X509" s="57" t="str">
        <f t="shared" si="118"/>
        <v/>
      </c>
      <c r="Y509" s="58">
        <f t="shared" si="119"/>
        <v>0</v>
      </c>
      <c r="AA509" s="62" t="str">
        <f t="shared" si="130"/>
        <v/>
      </c>
    </row>
    <row r="510" spans="3:27">
      <c r="C510" s="82"/>
      <c r="E510" s="30" t="str">
        <f t="shared" si="127"/>
        <v>00:00:00</v>
      </c>
      <c r="F510" s="36" t="str">
        <f t="shared" si="120"/>
        <v/>
      </c>
      <c r="G510" s="36">
        <f t="shared" si="121"/>
        <v>0</v>
      </c>
      <c r="H510" s="3" t="str">
        <f t="shared" si="122"/>
        <v/>
      </c>
      <c r="I510" s="3">
        <f t="shared" si="123"/>
        <v>0</v>
      </c>
      <c r="L510" s="35">
        <f t="shared" si="131"/>
        <v>1</v>
      </c>
      <c r="O510" s="27">
        <f t="shared" si="124"/>
        <v>0</v>
      </c>
      <c r="P510" s="3">
        <v>508</v>
      </c>
      <c r="Q510" s="3" t="e">
        <f t="shared" si="128"/>
        <v>#N/A</v>
      </c>
      <c r="R510" s="3" t="e">
        <f t="shared" si="129"/>
        <v>#N/A</v>
      </c>
      <c r="T510" s="46" t="str">
        <f t="shared" si="125"/>
        <v/>
      </c>
      <c r="U510" s="48" t="str">
        <f t="shared" si="126"/>
        <v/>
      </c>
      <c r="W510" s="56">
        <f t="shared" si="117"/>
        <v>0</v>
      </c>
      <c r="X510" s="57" t="str">
        <f t="shared" si="118"/>
        <v/>
      </c>
      <c r="Y510" s="58">
        <f t="shared" si="119"/>
        <v>0</v>
      </c>
      <c r="AA510" s="62" t="str">
        <f t="shared" si="130"/>
        <v/>
      </c>
    </row>
    <row r="511" spans="3:27">
      <c r="C511" s="82"/>
      <c r="E511" s="30" t="str">
        <f t="shared" si="127"/>
        <v>00:00:00</v>
      </c>
      <c r="F511" s="36" t="str">
        <f t="shared" si="120"/>
        <v/>
      </c>
      <c r="G511" s="36">
        <f t="shared" si="121"/>
        <v>0</v>
      </c>
      <c r="H511" s="3" t="str">
        <f t="shared" si="122"/>
        <v/>
      </c>
      <c r="I511" s="3">
        <f t="shared" si="123"/>
        <v>0</v>
      </c>
      <c r="L511" s="35">
        <f t="shared" si="131"/>
        <v>1</v>
      </c>
      <c r="O511" s="27">
        <f t="shared" si="124"/>
        <v>0</v>
      </c>
      <c r="P511" s="3">
        <v>509</v>
      </c>
      <c r="Q511" s="3" t="e">
        <f t="shared" si="128"/>
        <v>#N/A</v>
      </c>
      <c r="R511" s="3" t="e">
        <f t="shared" si="129"/>
        <v>#N/A</v>
      </c>
      <c r="T511" s="46" t="str">
        <f t="shared" si="125"/>
        <v/>
      </c>
      <c r="U511" s="48" t="str">
        <f t="shared" si="126"/>
        <v/>
      </c>
      <c r="W511" s="56">
        <f t="shared" si="117"/>
        <v>0</v>
      </c>
      <c r="X511" s="57" t="str">
        <f t="shared" si="118"/>
        <v/>
      </c>
      <c r="Y511" s="58">
        <f t="shared" si="119"/>
        <v>0</v>
      </c>
      <c r="AA511" s="62" t="str">
        <f t="shared" si="130"/>
        <v/>
      </c>
    </row>
    <row r="512" spans="3:27">
      <c r="C512" s="82"/>
      <c r="E512" s="30" t="str">
        <f t="shared" si="127"/>
        <v>00:00:00</v>
      </c>
      <c r="F512" s="36" t="str">
        <f t="shared" si="120"/>
        <v/>
      </c>
      <c r="G512" s="36">
        <f t="shared" si="121"/>
        <v>0</v>
      </c>
      <c r="H512" s="3" t="str">
        <f t="shared" si="122"/>
        <v/>
      </c>
      <c r="I512" s="3">
        <f t="shared" si="123"/>
        <v>0</v>
      </c>
      <c r="L512" s="35">
        <f t="shared" si="131"/>
        <v>1</v>
      </c>
      <c r="O512" s="27">
        <f t="shared" si="124"/>
        <v>0</v>
      </c>
      <c r="P512" s="3">
        <v>510</v>
      </c>
      <c r="Q512" s="3" t="e">
        <f t="shared" si="128"/>
        <v>#N/A</v>
      </c>
      <c r="R512" s="3" t="e">
        <f t="shared" si="129"/>
        <v>#N/A</v>
      </c>
      <c r="T512" s="46" t="str">
        <f t="shared" si="125"/>
        <v/>
      </c>
      <c r="U512" s="48" t="str">
        <f t="shared" si="126"/>
        <v/>
      </c>
      <c r="W512" s="56">
        <f t="shared" si="117"/>
        <v>0</v>
      </c>
      <c r="X512" s="57" t="str">
        <f t="shared" si="118"/>
        <v/>
      </c>
      <c r="Y512" s="58">
        <f t="shared" si="119"/>
        <v>0</v>
      </c>
      <c r="AA512" s="62" t="str">
        <f t="shared" si="130"/>
        <v/>
      </c>
    </row>
    <row r="513" spans="3:27">
      <c r="C513" s="82"/>
      <c r="E513" s="30" t="str">
        <f t="shared" si="127"/>
        <v>00:00:00</v>
      </c>
      <c r="F513" s="36" t="str">
        <f t="shared" si="120"/>
        <v/>
      </c>
      <c r="G513" s="36">
        <f t="shared" si="121"/>
        <v>0</v>
      </c>
      <c r="H513" s="3" t="str">
        <f t="shared" si="122"/>
        <v/>
      </c>
      <c r="I513" s="3">
        <f t="shared" si="123"/>
        <v>0</v>
      </c>
      <c r="L513" s="35">
        <f t="shared" si="131"/>
        <v>1</v>
      </c>
      <c r="O513" s="27">
        <f t="shared" si="124"/>
        <v>0</v>
      </c>
      <c r="P513" s="3">
        <v>511</v>
      </c>
      <c r="Q513" s="3" t="e">
        <f t="shared" si="128"/>
        <v>#N/A</v>
      </c>
      <c r="R513" s="3" t="e">
        <f t="shared" si="129"/>
        <v>#N/A</v>
      </c>
      <c r="T513" s="46" t="str">
        <f t="shared" si="125"/>
        <v/>
      </c>
      <c r="U513" s="48" t="str">
        <f t="shared" si="126"/>
        <v/>
      </c>
      <c r="W513" s="56">
        <f t="shared" si="117"/>
        <v>0</v>
      </c>
      <c r="X513" s="57" t="str">
        <f t="shared" si="118"/>
        <v/>
      </c>
      <c r="Y513" s="58">
        <f t="shared" si="119"/>
        <v>0</v>
      </c>
      <c r="AA513" s="62" t="str">
        <f t="shared" si="130"/>
        <v/>
      </c>
    </row>
    <row r="514" spans="3:27">
      <c r="C514" s="82"/>
      <c r="E514" s="30" t="str">
        <f t="shared" si="127"/>
        <v>00:00:00</v>
      </c>
      <c r="F514" s="36" t="str">
        <f t="shared" si="120"/>
        <v/>
      </c>
      <c r="G514" s="36">
        <f t="shared" si="121"/>
        <v>0</v>
      </c>
      <c r="H514" s="3" t="str">
        <f t="shared" si="122"/>
        <v/>
      </c>
      <c r="I514" s="3">
        <f t="shared" si="123"/>
        <v>0</v>
      </c>
      <c r="L514" s="35">
        <f t="shared" si="131"/>
        <v>1</v>
      </c>
      <c r="O514" s="27">
        <f t="shared" si="124"/>
        <v>0</v>
      </c>
      <c r="P514" s="3">
        <v>512</v>
      </c>
      <c r="Q514" s="3" t="e">
        <f t="shared" si="128"/>
        <v>#N/A</v>
      </c>
      <c r="R514" s="3" t="e">
        <f t="shared" si="129"/>
        <v>#N/A</v>
      </c>
      <c r="T514" s="46" t="str">
        <f t="shared" si="125"/>
        <v/>
      </c>
      <c r="U514" s="48" t="str">
        <f t="shared" si="126"/>
        <v/>
      </c>
      <c r="W514" s="56">
        <f t="shared" ref="W514:W577" si="132">IF(H514&lt;&gt;H515,1,0)</f>
        <v>0</v>
      </c>
      <c r="X514" s="57" t="str">
        <f t="shared" ref="X514:X577" si="133">IF(W514=1,H514,"")</f>
        <v/>
      </c>
      <c r="Y514" s="58">
        <f t="shared" ref="Y514:Y577" si="134">D514</f>
        <v>0</v>
      </c>
      <c r="AA514" s="62" t="str">
        <f t="shared" si="130"/>
        <v/>
      </c>
    </row>
    <row r="515" spans="3:27">
      <c r="C515" s="82"/>
      <c r="E515" s="30" t="str">
        <f t="shared" si="127"/>
        <v>00:00:00</v>
      </c>
      <c r="F515" s="36" t="str">
        <f t="shared" ref="F515:F578" si="135">IF(G515=0,"",IF(G515&lt;8,1,IF(G515&lt;15,2,IF(G515&lt;22,3,4))))</f>
        <v/>
      </c>
      <c r="G515" s="36">
        <f t="shared" ref="G515:G578" si="136">DAY(B515)</f>
        <v>0</v>
      </c>
      <c r="H515" s="3" t="str">
        <f t="shared" ref="H515:H578" si="137">IF(ISNUMBER(B515),VLOOKUP(MONTH(B515),$J$2:$K$13,2,FALSE),"")</f>
        <v/>
      </c>
      <c r="I515" s="3">
        <f t="shared" ref="I515:I578" si="138">IF(A515&lt;&gt;A516,1,0)</f>
        <v>0</v>
      </c>
      <c r="L515" s="35">
        <f t="shared" si="131"/>
        <v>1</v>
      </c>
      <c r="O515" s="27">
        <f t="shared" ref="O515:O578" si="139">D515</f>
        <v>0</v>
      </c>
      <c r="P515" s="3">
        <v>513</v>
      </c>
      <c r="Q515" s="3" t="e">
        <f t="shared" si="128"/>
        <v>#N/A</v>
      </c>
      <c r="R515" s="3" t="e">
        <f t="shared" si="129"/>
        <v>#N/A</v>
      </c>
      <c r="T515" s="46" t="str">
        <f t="shared" ref="T515:T578" si="140">IFERROR(R515,"")</f>
        <v/>
      </c>
      <c r="U515" s="48" t="str">
        <f t="shared" ref="U515:U578" si="141">IFERROR(Q515,"")</f>
        <v/>
      </c>
      <c r="W515" s="56">
        <f t="shared" si="132"/>
        <v>0</v>
      </c>
      <c r="X515" s="57" t="str">
        <f t="shared" si="133"/>
        <v/>
      </c>
      <c r="Y515" s="58">
        <f t="shared" si="134"/>
        <v>0</v>
      </c>
      <c r="AA515" s="62" t="str">
        <f t="shared" si="130"/>
        <v/>
      </c>
    </row>
    <row r="516" spans="3:27">
      <c r="C516" s="82"/>
      <c r="E516" s="30" t="str">
        <f t="shared" ref="E516:E579" si="142">IF(A516&lt;&gt;A515,TEXT(C516,"hh:mm:ss"),TEXT(C516+E515,"hh:mm:ss"))</f>
        <v>00:00:00</v>
      </c>
      <c r="F516" s="36" t="str">
        <f t="shared" si="135"/>
        <v/>
      </c>
      <c r="G516" s="36">
        <f t="shared" si="136"/>
        <v>0</v>
      </c>
      <c r="H516" s="3" t="str">
        <f t="shared" si="137"/>
        <v/>
      </c>
      <c r="I516" s="3">
        <f t="shared" si="138"/>
        <v>0</v>
      </c>
      <c r="L516" s="35">
        <f t="shared" si="131"/>
        <v>1</v>
      </c>
      <c r="O516" s="27">
        <f t="shared" si="139"/>
        <v>0</v>
      </c>
      <c r="P516" s="3">
        <v>514</v>
      </c>
      <c r="Q516" s="3" t="e">
        <f t="shared" ref="Q516:Q579" si="143">VLOOKUP(P516,M:O,3,FALSE)</f>
        <v>#N/A</v>
      </c>
      <c r="R516" s="3" t="e">
        <f t="shared" ref="R516:R579" si="144">VLOOKUP(P516,M:N,2,FALSE)</f>
        <v>#N/A</v>
      </c>
      <c r="T516" s="46" t="str">
        <f t="shared" si="140"/>
        <v/>
      </c>
      <c r="U516" s="48" t="str">
        <f t="shared" si="141"/>
        <v/>
      </c>
      <c r="W516" s="56">
        <f t="shared" si="132"/>
        <v>0</v>
      </c>
      <c r="X516" s="57" t="str">
        <f t="shared" si="133"/>
        <v/>
      </c>
      <c r="Y516" s="58">
        <f t="shared" si="134"/>
        <v>0</v>
      </c>
      <c r="AA516" s="62" t="str">
        <f t="shared" ref="AA516:AA579" si="145">IFERROR(VLOOKUP(Z516,X:Y,2,FALSE),"")</f>
        <v/>
      </c>
    </row>
    <row r="517" spans="3:27">
      <c r="C517" s="82"/>
      <c r="E517" s="30" t="str">
        <f t="shared" si="142"/>
        <v>00:00:00</v>
      </c>
      <c r="F517" s="36" t="str">
        <f t="shared" si="135"/>
        <v/>
      </c>
      <c r="G517" s="36">
        <f t="shared" si="136"/>
        <v>0</v>
      </c>
      <c r="H517" s="3" t="str">
        <f t="shared" si="137"/>
        <v/>
      </c>
      <c r="I517" s="3">
        <f t="shared" si="138"/>
        <v>0</v>
      </c>
      <c r="L517" s="35">
        <f t="shared" si="131"/>
        <v>1</v>
      </c>
      <c r="O517" s="27">
        <f t="shared" si="139"/>
        <v>0</v>
      </c>
      <c r="P517" s="3">
        <v>515</v>
      </c>
      <c r="Q517" s="3" t="e">
        <f t="shared" si="143"/>
        <v>#N/A</v>
      </c>
      <c r="R517" s="3" t="e">
        <f t="shared" si="144"/>
        <v>#N/A</v>
      </c>
      <c r="T517" s="46" t="str">
        <f t="shared" si="140"/>
        <v/>
      </c>
      <c r="U517" s="48" t="str">
        <f t="shared" si="141"/>
        <v/>
      </c>
      <c r="W517" s="56">
        <f t="shared" si="132"/>
        <v>0</v>
      </c>
      <c r="X517" s="57" t="str">
        <f t="shared" si="133"/>
        <v/>
      </c>
      <c r="Y517" s="58">
        <f t="shared" si="134"/>
        <v>0</v>
      </c>
      <c r="AA517" s="62" t="str">
        <f t="shared" si="145"/>
        <v/>
      </c>
    </row>
    <row r="518" spans="3:27">
      <c r="C518" s="82"/>
      <c r="E518" s="30" t="str">
        <f t="shared" si="142"/>
        <v>00:00:00</v>
      </c>
      <c r="F518" s="36" t="str">
        <f t="shared" si="135"/>
        <v/>
      </c>
      <c r="G518" s="36">
        <f t="shared" si="136"/>
        <v>0</v>
      </c>
      <c r="H518" s="3" t="str">
        <f t="shared" si="137"/>
        <v/>
      </c>
      <c r="I518" s="3">
        <f t="shared" si="138"/>
        <v>0</v>
      </c>
      <c r="L518" s="35">
        <f t="shared" si="131"/>
        <v>1</v>
      </c>
      <c r="O518" s="27">
        <f t="shared" si="139"/>
        <v>0</v>
      </c>
      <c r="P518" s="3">
        <v>516</v>
      </c>
      <c r="Q518" s="3" t="e">
        <f t="shared" si="143"/>
        <v>#N/A</v>
      </c>
      <c r="R518" s="3" t="e">
        <f t="shared" si="144"/>
        <v>#N/A</v>
      </c>
      <c r="T518" s="46" t="str">
        <f t="shared" si="140"/>
        <v/>
      </c>
      <c r="U518" s="48" t="str">
        <f t="shared" si="141"/>
        <v/>
      </c>
      <c r="W518" s="56">
        <f t="shared" si="132"/>
        <v>0</v>
      </c>
      <c r="X518" s="57" t="str">
        <f t="shared" si="133"/>
        <v/>
      </c>
      <c r="Y518" s="58">
        <f t="shared" si="134"/>
        <v>0</v>
      </c>
      <c r="AA518" s="62" t="str">
        <f t="shared" si="145"/>
        <v/>
      </c>
    </row>
    <row r="519" spans="3:27">
      <c r="C519" s="82"/>
      <c r="E519" s="30" t="str">
        <f t="shared" si="142"/>
        <v>00:00:00</v>
      </c>
      <c r="F519" s="36" t="str">
        <f t="shared" si="135"/>
        <v/>
      </c>
      <c r="G519" s="36">
        <f t="shared" si="136"/>
        <v>0</v>
      </c>
      <c r="H519" s="3" t="str">
        <f t="shared" si="137"/>
        <v/>
      </c>
      <c r="I519" s="3">
        <f t="shared" si="138"/>
        <v>0</v>
      </c>
      <c r="L519" s="35">
        <f t="shared" si="131"/>
        <v>1</v>
      </c>
      <c r="O519" s="27">
        <f t="shared" si="139"/>
        <v>0</v>
      </c>
      <c r="P519" s="3">
        <v>517</v>
      </c>
      <c r="Q519" s="3" t="e">
        <f t="shared" si="143"/>
        <v>#N/A</v>
      </c>
      <c r="R519" s="3" t="e">
        <f t="shared" si="144"/>
        <v>#N/A</v>
      </c>
      <c r="T519" s="46" t="str">
        <f t="shared" si="140"/>
        <v/>
      </c>
      <c r="U519" s="48" t="str">
        <f t="shared" si="141"/>
        <v/>
      </c>
      <c r="W519" s="56">
        <f t="shared" si="132"/>
        <v>0</v>
      </c>
      <c r="X519" s="57" t="str">
        <f t="shared" si="133"/>
        <v/>
      </c>
      <c r="Y519" s="58">
        <f t="shared" si="134"/>
        <v>0</v>
      </c>
      <c r="AA519" s="62" t="str">
        <f t="shared" si="145"/>
        <v/>
      </c>
    </row>
    <row r="520" spans="3:27">
      <c r="C520" s="82"/>
      <c r="E520" s="30" t="str">
        <f t="shared" si="142"/>
        <v>00:00:00</v>
      </c>
      <c r="F520" s="36" t="str">
        <f t="shared" si="135"/>
        <v/>
      </c>
      <c r="G520" s="36">
        <f t="shared" si="136"/>
        <v>0</v>
      </c>
      <c r="H520" s="3" t="str">
        <f t="shared" si="137"/>
        <v/>
      </c>
      <c r="I520" s="3">
        <f t="shared" si="138"/>
        <v>0</v>
      </c>
      <c r="L520" s="35">
        <f t="shared" si="131"/>
        <v>1</v>
      </c>
      <c r="O520" s="27">
        <f t="shared" si="139"/>
        <v>0</v>
      </c>
      <c r="P520" s="3">
        <v>518</v>
      </c>
      <c r="Q520" s="3" t="e">
        <f t="shared" si="143"/>
        <v>#N/A</v>
      </c>
      <c r="R520" s="3" t="e">
        <f t="shared" si="144"/>
        <v>#N/A</v>
      </c>
      <c r="T520" s="46" t="str">
        <f t="shared" si="140"/>
        <v/>
      </c>
      <c r="U520" s="48" t="str">
        <f t="shared" si="141"/>
        <v/>
      </c>
      <c r="W520" s="56">
        <f t="shared" si="132"/>
        <v>0</v>
      </c>
      <c r="X520" s="57" t="str">
        <f t="shared" si="133"/>
        <v/>
      </c>
      <c r="Y520" s="58">
        <f t="shared" si="134"/>
        <v>0</v>
      </c>
      <c r="AA520" s="62" t="str">
        <f t="shared" si="145"/>
        <v/>
      </c>
    </row>
    <row r="521" spans="3:27">
      <c r="C521" s="82"/>
      <c r="E521" s="30" t="str">
        <f t="shared" si="142"/>
        <v>00:00:00</v>
      </c>
      <c r="F521" s="36" t="str">
        <f t="shared" si="135"/>
        <v/>
      </c>
      <c r="G521" s="36">
        <f t="shared" si="136"/>
        <v>0</v>
      </c>
      <c r="H521" s="3" t="str">
        <f t="shared" si="137"/>
        <v/>
      </c>
      <c r="I521" s="3">
        <f t="shared" si="138"/>
        <v>0</v>
      </c>
      <c r="L521" s="35">
        <f t="shared" si="131"/>
        <v>1</v>
      </c>
      <c r="O521" s="27">
        <f t="shared" si="139"/>
        <v>0</v>
      </c>
      <c r="P521" s="3">
        <v>519</v>
      </c>
      <c r="Q521" s="3" t="e">
        <f t="shared" si="143"/>
        <v>#N/A</v>
      </c>
      <c r="R521" s="3" t="e">
        <f t="shared" si="144"/>
        <v>#N/A</v>
      </c>
      <c r="T521" s="46" t="str">
        <f t="shared" si="140"/>
        <v/>
      </c>
      <c r="U521" s="48" t="str">
        <f t="shared" si="141"/>
        <v/>
      </c>
      <c r="W521" s="56">
        <f t="shared" si="132"/>
        <v>0</v>
      </c>
      <c r="X521" s="57" t="str">
        <f t="shared" si="133"/>
        <v/>
      </c>
      <c r="Y521" s="58">
        <f t="shared" si="134"/>
        <v>0</v>
      </c>
      <c r="AA521" s="62" t="str">
        <f t="shared" si="145"/>
        <v/>
      </c>
    </row>
    <row r="522" spans="3:27">
      <c r="C522" s="82"/>
      <c r="E522" s="30" t="str">
        <f t="shared" si="142"/>
        <v>00:00:00</v>
      </c>
      <c r="F522" s="36" t="str">
        <f t="shared" si="135"/>
        <v/>
      </c>
      <c r="G522" s="36">
        <f t="shared" si="136"/>
        <v>0</v>
      </c>
      <c r="H522" s="3" t="str">
        <f t="shared" si="137"/>
        <v/>
      </c>
      <c r="I522" s="3">
        <f t="shared" si="138"/>
        <v>0</v>
      </c>
      <c r="L522" s="35">
        <f t="shared" si="131"/>
        <v>1</v>
      </c>
      <c r="O522" s="27">
        <f t="shared" si="139"/>
        <v>0</v>
      </c>
      <c r="P522" s="3">
        <v>520</v>
      </c>
      <c r="Q522" s="3" t="e">
        <f t="shared" si="143"/>
        <v>#N/A</v>
      </c>
      <c r="R522" s="3" t="e">
        <f t="shared" si="144"/>
        <v>#N/A</v>
      </c>
      <c r="T522" s="46" t="str">
        <f t="shared" si="140"/>
        <v/>
      </c>
      <c r="U522" s="48" t="str">
        <f t="shared" si="141"/>
        <v/>
      </c>
      <c r="W522" s="56">
        <f t="shared" si="132"/>
        <v>0</v>
      </c>
      <c r="X522" s="57" t="str">
        <f t="shared" si="133"/>
        <v/>
      </c>
      <c r="Y522" s="58">
        <f t="shared" si="134"/>
        <v>0</v>
      </c>
      <c r="AA522" s="62" t="str">
        <f t="shared" si="145"/>
        <v/>
      </c>
    </row>
    <row r="523" spans="3:27">
      <c r="C523" s="82"/>
      <c r="E523" s="30" t="str">
        <f t="shared" si="142"/>
        <v>00:00:00</v>
      </c>
      <c r="F523" s="36" t="str">
        <f t="shared" si="135"/>
        <v/>
      </c>
      <c r="G523" s="36">
        <f t="shared" si="136"/>
        <v>0</v>
      </c>
      <c r="H523" s="3" t="str">
        <f t="shared" si="137"/>
        <v/>
      </c>
      <c r="I523" s="3">
        <f t="shared" si="138"/>
        <v>0</v>
      </c>
      <c r="L523" s="35">
        <f t="shared" si="131"/>
        <v>1</v>
      </c>
      <c r="O523" s="27">
        <f t="shared" si="139"/>
        <v>0</v>
      </c>
      <c r="P523" s="3">
        <v>521</v>
      </c>
      <c r="Q523" s="3" t="e">
        <f t="shared" si="143"/>
        <v>#N/A</v>
      </c>
      <c r="R523" s="3" t="e">
        <f t="shared" si="144"/>
        <v>#N/A</v>
      </c>
      <c r="T523" s="46" t="str">
        <f t="shared" si="140"/>
        <v/>
      </c>
      <c r="U523" s="48" t="str">
        <f t="shared" si="141"/>
        <v/>
      </c>
      <c r="W523" s="56">
        <f t="shared" si="132"/>
        <v>0</v>
      </c>
      <c r="X523" s="57" t="str">
        <f t="shared" si="133"/>
        <v/>
      </c>
      <c r="Y523" s="58">
        <f t="shared" si="134"/>
        <v>0</v>
      </c>
      <c r="AA523" s="62" t="str">
        <f t="shared" si="145"/>
        <v/>
      </c>
    </row>
    <row r="524" spans="3:27">
      <c r="C524" s="82"/>
      <c r="E524" s="30" t="str">
        <f t="shared" si="142"/>
        <v>00:00:00</v>
      </c>
      <c r="F524" s="36" t="str">
        <f t="shared" si="135"/>
        <v/>
      </c>
      <c r="G524" s="36">
        <f t="shared" si="136"/>
        <v>0</v>
      </c>
      <c r="H524" s="3" t="str">
        <f t="shared" si="137"/>
        <v/>
      </c>
      <c r="I524" s="3">
        <f t="shared" si="138"/>
        <v>0</v>
      </c>
      <c r="L524" s="35">
        <f t="shared" ref="L524:L587" si="146">IF(I523=1,L523+I523,L523)</f>
        <v>1</v>
      </c>
      <c r="O524" s="27">
        <f t="shared" si="139"/>
        <v>0</v>
      </c>
      <c r="P524" s="3">
        <v>522</v>
      </c>
      <c r="Q524" s="3" t="e">
        <f t="shared" si="143"/>
        <v>#N/A</v>
      </c>
      <c r="R524" s="3" t="e">
        <f t="shared" si="144"/>
        <v>#N/A</v>
      </c>
      <c r="T524" s="46" t="str">
        <f t="shared" si="140"/>
        <v/>
      </c>
      <c r="U524" s="48" t="str">
        <f t="shared" si="141"/>
        <v/>
      </c>
      <c r="W524" s="56">
        <f t="shared" si="132"/>
        <v>0</v>
      </c>
      <c r="X524" s="57" t="str">
        <f t="shared" si="133"/>
        <v/>
      </c>
      <c r="Y524" s="58">
        <f t="shared" si="134"/>
        <v>0</v>
      </c>
      <c r="AA524" s="62" t="str">
        <f t="shared" si="145"/>
        <v/>
      </c>
    </row>
    <row r="525" spans="3:27">
      <c r="C525" s="82"/>
      <c r="E525" s="30" t="str">
        <f t="shared" si="142"/>
        <v>00:00:00</v>
      </c>
      <c r="F525" s="36" t="str">
        <f t="shared" si="135"/>
        <v/>
      </c>
      <c r="G525" s="36">
        <f t="shared" si="136"/>
        <v>0</v>
      </c>
      <c r="H525" s="3" t="str">
        <f t="shared" si="137"/>
        <v/>
      </c>
      <c r="I525" s="3">
        <f t="shared" si="138"/>
        <v>0</v>
      </c>
      <c r="L525" s="35">
        <f t="shared" si="146"/>
        <v>1</v>
      </c>
      <c r="O525" s="27">
        <f t="shared" si="139"/>
        <v>0</v>
      </c>
      <c r="P525" s="3">
        <v>523</v>
      </c>
      <c r="Q525" s="3" t="e">
        <f t="shared" si="143"/>
        <v>#N/A</v>
      </c>
      <c r="R525" s="3" t="e">
        <f t="shared" si="144"/>
        <v>#N/A</v>
      </c>
      <c r="T525" s="46" t="str">
        <f t="shared" si="140"/>
        <v/>
      </c>
      <c r="U525" s="48" t="str">
        <f t="shared" si="141"/>
        <v/>
      </c>
      <c r="W525" s="56">
        <f t="shared" si="132"/>
        <v>0</v>
      </c>
      <c r="X525" s="57" t="str">
        <f t="shared" si="133"/>
        <v/>
      </c>
      <c r="Y525" s="58">
        <f t="shared" si="134"/>
        <v>0</v>
      </c>
      <c r="AA525" s="62" t="str">
        <f t="shared" si="145"/>
        <v/>
      </c>
    </row>
    <row r="526" spans="3:27">
      <c r="C526" s="82"/>
      <c r="E526" s="30" t="str">
        <f t="shared" si="142"/>
        <v>00:00:00</v>
      </c>
      <c r="F526" s="36" t="str">
        <f t="shared" si="135"/>
        <v/>
      </c>
      <c r="G526" s="36">
        <f t="shared" si="136"/>
        <v>0</v>
      </c>
      <c r="H526" s="3" t="str">
        <f t="shared" si="137"/>
        <v/>
      </c>
      <c r="I526" s="3">
        <f t="shared" si="138"/>
        <v>0</v>
      </c>
      <c r="L526" s="35">
        <f t="shared" si="146"/>
        <v>1</v>
      </c>
      <c r="O526" s="27">
        <f t="shared" si="139"/>
        <v>0</v>
      </c>
      <c r="P526" s="3">
        <v>524</v>
      </c>
      <c r="Q526" s="3" t="e">
        <f t="shared" si="143"/>
        <v>#N/A</v>
      </c>
      <c r="R526" s="3" t="e">
        <f t="shared" si="144"/>
        <v>#N/A</v>
      </c>
      <c r="T526" s="46" t="str">
        <f t="shared" si="140"/>
        <v/>
      </c>
      <c r="U526" s="48" t="str">
        <f t="shared" si="141"/>
        <v/>
      </c>
      <c r="W526" s="56">
        <f t="shared" si="132"/>
        <v>0</v>
      </c>
      <c r="X526" s="57" t="str">
        <f t="shared" si="133"/>
        <v/>
      </c>
      <c r="Y526" s="58">
        <f t="shared" si="134"/>
        <v>0</v>
      </c>
      <c r="AA526" s="62" t="str">
        <f t="shared" si="145"/>
        <v/>
      </c>
    </row>
    <row r="527" spans="3:27">
      <c r="C527" s="82"/>
      <c r="E527" s="30" t="str">
        <f t="shared" si="142"/>
        <v>00:00:00</v>
      </c>
      <c r="F527" s="36" t="str">
        <f t="shared" si="135"/>
        <v/>
      </c>
      <c r="G527" s="36">
        <f t="shared" si="136"/>
        <v>0</v>
      </c>
      <c r="H527" s="3" t="str">
        <f t="shared" si="137"/>
        <v/>
      </c>
      <c r="I527" s="3">
        <f t="shared" si="138"/>
        <v>0</v>
      </c>
      <c r="L527" s="35">
        <f t="shared" si="146"/>
        <v>1</v>
      </c>
      <c r="O527" s="27">
        <f t="shared" si="139"/>
        <v>0</v>
      </c>
      <c r="P527" s="3">
        <v>525</v>
      </c>
      <c r="Q527" s="3" t="e">
        <f t="shared" si="143"/>
        <v>#N/A</v>
      </c>
      <c r="R527" s="3" t="e">
        <f t="shared" si="144"/>
        <v>#N/A</v>
      </c>
      <c r="T527" s="46" t="str">
        <f t="shared" si="140"/>
        <v/>
      </c>
      <c r="U527" s="48" t="str">
        <f t="shared" si="141"/>
        <v/>
      </c>
      <c r="W527" s="56">
        <f t="shared" si="132"/>
        <v>0</v>
      </c>
      <c r="X527" s="57" t="str">
        <f t="shared" si="133"/>
        <v/>
      </c>
      <c r="Y527" s="58">
        <f t="shared" si="134"/>
        <v>0</v>
      </c>
      <c r="AA527" s="62" t="str">
        <f t="shared" si="145"/>
        <v/>
      </c>
    </row>
    <row r="528" spans="3:27">
      <c r="C528" s="82"/>
      <c r="E528" s="30" t="str">
        <f t="shared" si="142"/>
        <v>00:00:00</v>
      </c>
      <c r="F528" s="36" t="str">
        <f t="shared" si="135"/>
        <v/>
      </c>
      <c r="G528" s="36">
        <f t="shared" si="136"/>
        <v>0</v>
      </c>
      <c r="H528" s="3" t="str">
        <f t="shared" si="137"/>
        <v/>
      </c>
      <c r="I528" s="3">
        <f t="shared" si="138"/>
        <v>0</v>
      </c>
      <c r="L528" s="35">
        <f t="shared" si="146"/>
        <v>1</v>
      </c>
      <c r="O528" s="27">
        <f t="shared" si="139"/>
        <v>0</v>
      </c>
      <c r="P528" s="3">
        <v>526</v>
      </c>
      <c r="Q528" s="3" t="e">
        <f t="shared" si="143"/>
        <v>#N/A</v>
      </c>
      <c r="R528" s="3" t="e">
        <f t="shared" si="144"/>
        <v>#N/A</v>
      </c>
      <c r="T528" s="46" t="str">
        <f t="shared" si="140"/>
        <v/>
      </c>
      <c r="U528" s="48" t="str">
        <f t="shared" si="141"/>
        <v/>
      </c>
      <c r="W528" s="56">
        <f t="shared" si="132"/>
        <v>0</v>
      </c>
      <c r="X528" s="57" t="str">
        <f t="shared" si="133"/>
        <v/>
      </c>
      <c r="Y528" s="58">
        <f t="shared" si="134"/>
        <v>0</v>
      </c>
      <c r="AA528" s="62" t="str">
        <f t="shared" si="145"/>
        <v/>
      </c>
    </row>
    <row r="529" spans="3:27">
      <c r="C529" s="82"/>
      <c r="E529" s="30" t="str">
        <f t="shared" si="142"/>
        <v>00:00:00</v>
      </c>
      <c r="F529" s="36" t="str">
        <f t="shared" si="135"/>
        <v/>
      </c>
      <c r="G529" s="36">
        <f t="shared" si="136"/>
        <v>0</v>
      </c>
      <c r="H529" s="3" t="str">
        <f t="shared" si="137"/>
        <v/>
      </c>
      <c r="I529" s="3">
        <f t="shared" si="138"/>
        <v>0</v>
      </c>
      <c r="L529" s="35">
        <f t="shared" si="146"/>
        <v>1</v>
      </c>
      <c r="O529" s="27">
        <f t="shared" si="139"/>
        <v>0</v>
      </c>
      <c r="P529" s="3">
        <v>527</v>
      </c>
      <c r="Q529" s="3" t="e">
        <f t="shared" si="143"/>
        <v>#N/A</v>
      </c>
      <c r="R529" s="3" t="e">
        <f t="shared" si="144"/>
        <v>#N/A</v>
      </c>
      <c r="T529" s="46" t="str">
        <f t="shared" si="140"/>
        <v/>
      </c>
      <c r="U529" s="48" t="str">
        <f t="shared" si="141"/>
        <v/>
      </c>
      <c r="W529" s="56">
        <f t="shared" si="132"/>
        <v>0</v>
      </c>
      <c r="X529" s="57" t="str">
        <f t="shared" si="133"/>
        <v/>
      </c>
      <c r="Y529" s="58">
        <f t="shared" si="134"/>
        <v>0</v>
      </c>
      <c r="AA529" s="62" t="str">
        <f t="shared" si="145"/>
        <v/>
      </c>
    </row>
    <row r="530" spans="3:27">
      <c r="C530" s="82"/>
      <c r="E530" s="30" t="str">
        <f t="shared" si="142"/>
        <v>00:00:00</v>
      </c>
      <c r="F530" s="36" t="str">
        <f t="shared" si="135"/>
        <v/>
      </c>
      <c r="G530" s="36">
        <f t="shared" si="136"/>
        <v>0</v>
      </c>
      <c r="H530" s="3" t="str">
        <f t="shared" si="137"/>
        <v/>
      </c>
      <c r="I530" s="3">
        <f t="shared" si="138"/>
        <v>0</v>
      </c>
      <c r="L530" s="35">
        <f t="shared" si="146"/>
        <v>1</v>
      </c>
      <c r="O530" s="27">
        <f t="shared" si="139"/>
        <v>0</v>
      </c>
      <c r="P530" s="3">
        <v>528</v>
      </c>
      <c r="Q530" s="3" t="e">
        <f t="shared" si="143"/>
        <v>#N/A</v>
      </c>
      <c r="R530" s="3" t="e">
        <f t="shared" si="144"/>
        <v>#N/A</v>
      </c>
      <c r="T530" s="46" t="str">
        <f t="shared" si="140"/>
        <v/>
      </c>
      <c r="U530" s="48" t="str">
        <f t="shared" si="141"/>
        <v/>
      </c>
      <c r="W530" s="56">
        <f t="shared" si="132"/>
        <v>0</v>
      </c>
      <c r="X530" s="57" t="str">
        <f t="shared" si="133"/>
        <v/>
      </c>
      <c r="Y530" s="58">
        <f t="shared" si="134"/>
        <v>0</v>
      </c>
      <c r="AA530" s="62" t="str">
        <f t="shared" si="145"/>
        <v/>
      </c>
    </row>
    <row r="531" spans="3:27">
      <c r="C531" s="82"/>
      <c r="E531" s="30" t="str">
        <f t="shared" si="142"/>
        <v>00:00:00</v>
      </c>
      <c r="F531" s="36" t="str">
        <f t="shared" si="135"/>
        <v/>
      </c>
      <c r="G531" s="36">
        <f t="shared" si="136"/>
        <v>0</v>
      </c>
      <c r="H531" s="3" t="str">
        <f t="shared" si="137"/>
        <v/>
      </c>
      <c r="I531" s="3">
        <f t="shared" si="138"/>
        <v>0</v>
      </c>
      <c r="L531" s="35">
        <f t="shared" si="146"/>
        <v>1</v>
      </c>
      <c r="O531" s="27">
        <f t="shared" si="139"/>
        <v>0</v>
      </c>
      <c r="P531" s="3">
        <v>529</v>
      </c>
      <c r="Q531" s="3" t="e">
        <f t="shared" si="143"/>
        <v>#N/A</v>
      </c>
      <c r="R531" s="3" t="e">
        <f t="shared" si="144"/>
        <v>#N/A</v>
      </c>
      <c r="T531" s="46" t="str">
        <f t="shared" si="140"/>
        <v/>
      </c>
      <c r="U531" s="48" t="str">
        <f t="shared" si="141"/>
        <v/>
      </c>
      <c r="W531" s="56">
        <f t="shared" si="132"/>
        <v>0</v>
      </c>
      <c r="X531" s="57" t="str">
        <f t="shared" si="133"/>
        <v/>
      </c>
      <c r="Y531" s="58">
        <f t="shared" si="134"/>
        <v>0</v>
      </c>
      <c r="AA531" s="62" t="str">
        <f t="shared" si="145"/>
        <v/>
      </c>
    </row>
    <row r="532" spans="3:27">
      <c r="C532" s="82"/>
      <c r="E532" s="30" t="str">
        <f t="shared" si="142"/>
        <v>00:00:00</v>
      </c>
      <c r="F532" s="36" t="str">
        <f t="shared" si="135"/>
        <v/>
      </c>
      <c r="G532" s="36">
        <f t="shared" si="136"/>
        <v>0</v>
      </c>
      <c r="H532" s="3" t="str">
        <f t="shared" si="137"/>
        <v/>
      </c>
      <c r="I532" s="3">
        <f t="shared" si="138"/>
        <v>0</v>
      </c>
      <c r="L532" s="35">
        <f t="shared" si="146"/>
        <v>1</v>
      </c>
      <c r="O532" s="27">
        <f t="shared" si="139"/>
        <v>0</v>
      </c>
      <c r="P532" s="3">
        <v>530</v>
      </c>
      <c r="Q532" s="3" t="e">
        <f t="shared" si="143"/>
        <v>#N/A</v>
      </c>
      <c r="R532" s="3" t="e">
        <f t="shared" si="144"/>
        <v>#N/A</v>
      </c>
      <c r="T532" s="46" t="str">
        <f t="shared" si="140"/>
        <v/>
      </c>
      <c r="U532" s="48" t="str">
        <f t="shared" si="141"/>
        <v/>
      </c>
      <c r="W532" s="56">
        <f t="shared" si="132"/>
        <v>0</v>
      </c>
      <c r="X532" s="57" t="str">
        <f t="shared" si="133"/>
        <v/>
      </c>
      <c r="Y532" s="58">
        <f t="shared" si="134"/>
        <v>0</v>
      </c>
      <c r="AA532" s="62" t="str">
        <f t="shared" si="145"/>
        <v/>
      </c>
    </row>
    <row r="533" spans="3:27">
      <c r="C533" s="82"/>
      <c r="E533" s="30" t="str">
        <f t="shared" si="142"/>
        <v>00:00:00</v>
      </c>
      <c r="F533" s="36" t="str">
        <f t="shared" si="135"/>
        <v/>
      </c>
      <c r="G533" s="36">
        <f t="shared" si="136"/>
        <v>0</v>
      </c>
      <c r="H533" s="3" t="str">
        <f t="shared" si="137"/>
        <v/>
      </c>
      <c r="I533" s="3">
        <f t="shared" si="138"/>
        <v>0</v>
      </c>
      <c r="L533" s="35">
        <f t="shared" si="146"/>
        <v>1</v>
      </c>
      <c r="O533" s="27">
        <f t="shared" si="139"/>
        <v>0</v>
      </c>
      <c r="P533" s="3">
        <v>531</v>
      </c>
      <c r="Q533" s="3" t="e">
        <f t="shared" si="143"/>
        <v>#N/A</v>
      </c>
      <c r="R533" s="3" t="e">
        <f t="shared" si="144"/>
        <v>#N/A</v>
      </c>
      <c r="T533" s="46" t="str">
        <f t="shared" si="140"/>
        <v/>
      </c>
      <c r="U533" s="48" t="str">
        <f t="shared" si="141"/>
        <v/>
      </c>
      <c r="W533" s="56">
        <f t="shared" si="132"/>
        <v>0</v>
      </c>
      <c r="X533" s="57" t="str">
        <f t="shared" si="133"/>
        <v/>
      </c>
      <c r="Y533" s="58">
        <f t="shared" si="134"/>
        <v>0</v>
      </c>
      <c r="AA533" s="62" t="str">
        <f t="shared" si="145"/>
        <v/>
      </c>
    </row>
    <row r="534" spans="3:27">
      <c r="C534" s="82"/>
      <c r="E534" s="30" t="str">
        <f t="shared" si="142"/>
        <v>00:00:00</v>
      </c>
      <c r="F534" s="36" t="str">
        <f t="shared" si="135"/>
        <v/>
      </c>
      <c r="G534" s="36">
        <f t="shared" si="136"/>
        <v>0</v>
      </c>
      <c r="H534" s="3" t="str">
        <f t="shared" si="137"/>
        <v/>
      </c>
      <c r="I534" s="3">
        <f t="shared" si="138"/>
        <v>0</v>
      </c>
      <c r="L534" s="35">
        <f t="shared" si="146"/>
        <v>1</v>
      </c>
      <c r="O534" s="27">
        <f t="shared" si="139"/>
        <v>0</v>
      </c>
      <c r="P534" s="3">
        <v>532</v>
      </c>
      <c r="Q534" s="3" t="e">
        <f t="shared" si="143"/>
        <v>#N/A</v>
      </c>
      <c r="R534" s="3" t="e">
        <f t="shared" si="144"/>
        <v>#N/A</v>
      </c>
      <c r="T534" s="46" t="str">
        <f t="shared" si="140"/>
        <v/>
      </c>
      <c r="U534" s="48" t="str">
        <f t="shared" si="141"/>
        <v/>
      </c>
      <c r="W534" s="56">
        <f t="shared" si="132"/>
        <v>0</v>
      </c>
      <c r="X534" s="57" t="str">
        <f t="shared" si="133"/>
        <v/>
      </c>
      <c r="Y534" s="58">
        <f t="shared" si="134"/>
        <v>0</v>
      </c>
      <c r="AA534" s="62" t="str">
        <f t="shared" si="145"/>
        <v/>
      </c>
    </row>
    <row r="535" spans="3:27">
      <c r="C535" s="82"/>
      <c r="E535" s="30" t="str">
        <f t="shared" si="142"/>
        <v>00:00:00</v>
      </c>
      <c r="F535" s="36" t="str">
        <f t="shared" si="135"/>
        <v/>
      </c>
      <c r="G535" s="36">
        <f t="shared" si="136"/>
        <v>0</v>
      </c>
      <c r="H535" s="3" t="str">
        <f t="shared" si="137"/>
        <v/>
      </c>
      <c r="I535" s="3">
        <f t="shared" si="138"/>
        <v>0</v>
      </c>
      <c r="L535" s="35">
        <f t="shared" si="146"/>
        <v>1</v>
      </c>
      <c r="O535" s="27">
        <f t="shared" si="139"/>
        <v>0</v>
      </c>
      <c r="P535" s="3">
        <v>533</v>
      </c>
      <c r="Q535" s="3" t="e">
        <f t="shared" si="143"/>
        <v>#N/A</v>
      </c>
      <c r="R535" s="3" t="e">
        <f t="shared" si="144"/>
        <v>#N/A</v>
      </c>
      <c r="T535" s="46" t="str">
        <f t="shared" si="140"/>
        <v/>
      </c>
      <c r="U535" s="48" t="str">
        <f t="shared" si="141"/>
        <v/>
      </c>
      <c r="W535" s="56">
        <f t="shared" si="132"/>
        <v>0</v>
      </c>
      <c r="X535" s="57" t="str">
        <f t="shared" si="133"/>
        <v/>
      </c>
      <c r="Y535" s="58">
        <f t="shared" si="134"/>
        <v>0</v>
      </c>
      <c r="AA535" s="62" t="str">
        <f t="shared" si="145"/>
        <v/>
      </c>
    </row>
    <row r="536" spans="3:27">
      <c r="C536" s="82"/>
      <c r="E536" s="30" t="str">
        <f t="shared" si="142"/>
        <v>00:00:00</v>
      </c>
      <c r="F536" s="36" t="str">
        <f t="shared" si="135"/>
        <v/>
      </c>
      <c r="G536" s="36">
        <f t="shared" si="136"/>
        <v>0</v>
      </c>
      <c r="H536" s="3" t="str">
        <f t="shared" si="137"/>
        <v/>
      </c>
      <c r="I536" s="3">
        <f t="shared" si="138"/>
        <v>0</v>
      </c>
      <c r="L536" s="35">
        <f t="shared" si="146"/>
        <v>1</v>
      </c>
      <c r="O536" s="27">
        <f t="shared" si="139"/>
        <v>0</v>
      </c>
      <c r="P536" s="3">
        <v>534</v>
      </c>
      <c r="Q536" s="3" t="e">
        <f t="shared" si="143"/>
        <v>#N/A</v>
      </c>
      <c r="R536" s="3" t="e">
        <f t="shared" si="144"/>
        <v>#N/A</v>
      </c>
      <c r="T536" s="46" t="str">
        <f t="shared" si="140"/>
        <v/>
      </c>
      <c r="U536" s="48" t="str">
        <f t="shared" si="141"/>
        <v/>
      </c>
      <c r="W536" s="56">
        <f t="shared" si="132"/>
        <v>0</v>
      </c>
      <c r="X536" s="57" t="str">
        <f t="shared" si="133"/>
        <v/>
      </c>
      <c r="Y536" s="58">
        <f t="shared" si="134"/>
        <v>0</v>
      </c>
      <c r="AA536" s="62" t="str">
        <f t="shared" si="145"/>
        <v/>
      </c>
    </row>
    <row r="537" spans="3:27">
      <c r="C537" s="82"/>
      <c r="E537" s="30" t="str">
        <f t="shared" si="142"/>
        <v>00:00:00</v>
      </c>
      <c r="F537" s="36" t="str">
        <f t="shared" si="135"/>
        <v/>
      </c>
      <c r="G537" s="36">
        <f t="shared" si="136"/>
        <v>0</v>
      </c>
      <c r="H537" s="3" t="str">
        <f t="shared" si="137"/>
        <v/>
      </c>
      <c r="I537" s="3">
        <f t="shared" si="138"/>
        <v>0</v>
      </c>
      <c r="L537" s="35">
        <f t="shared" si="146"/>
        <v>1</v>
      </c>
      <c r="O537" s="27">
        <f t="shared" si="139"/>
        <v>0</v>
      </c>
      <c r="P537" s="3">
        <v>535</v>
      </c>
      <c r="Q537" s="3" t="e">
        <f t="shared" si="143"/>
        <v>#N/A</v>
      </c>
      <c r="R537" s="3" t="e">
        <f t="shared" si="144"/>
        <v>#N/A</v>
      </c>
      <c r="T537" s="46" t="str">
        <f t="shared" si="140"/>
        <v/>
      </c>
      <c r="U537" s="48" t="str">
        <f t="shared" si="141"/>
        <v/>
      </c>
      <c r="W537" s="56">
        <f t="shared" si="132"/>
        <v>0</v>
      </c>
      <c r="X537" s="57" t="str">
        <f t="shared" si="133"/>
        <v/>
      </c>
      <c r="Y537" s="58">
        <f t="shared" si="134"/>
        <v>0</v>
      </c>
      <c r="AA537" s="62" t="str">
        <f t="shared" si="145"/>
        <v/>
      </c>
    </row>
    <row r="538" spans="3:27">
      <c r="C538" s="82"/>
      <c r="E538" s="30" t="str">
        <f t="shared" si="142"/>
        <v>00:00:00</v>
      </c>
      <c r="F538" s="36" t="str">
        <f t="shared" si="135"/>
        <v/>
      </c>
      <c r="G538" s="36">
        <f t="shared" si="136"/>
        <v>0</v>
      </c>
      <c r="H538" s="3" t="str">
        <f t="shared" si="137"/>
        <v/>
      </c>
      <c r="I538" s="3">
        <f t="shared" si="138"/>
        <v>0</v>
      </c>
      <c r="L538" s="35">
        <f t="shared" si="146"/>
        <v>1</v>
      </c>
      <c r="O538" s="27">
        <f t="shared" si="139"/>
        <v>0</v>
      </c>
      <c r="P538" s="3">
        <v>536</v>
      </c>
      <c r="Q538" s="3" t="e">
        <f t="shared" si="143"/>
        <v>#N/A</v>
      </c>
      <c r="R538" s="3" t="e">
        <f t="shared" si="144"/>
        <v>#N/A</v>
      </c>
      <c r="T538" s="46" t="str">
        <f t="shared" si="140"/>
        <v/>
      </c>
      <c r="U538" s="48" t="str">
        <f t="shared" si="141"/>
        <v/>
      </c>
      <c r="W538" s="56">
        <f t="shared" si="132"/>
        <v>0</v>
      </c>
      <c r="X538" s="57" t="str">
        <f t="shared" si="133"/>
        <v/>
      </c>
      <c r="Y538" s="58">
        <f t="shared" si="134"/>
        <v>0</v>
      </c>
      <c r="AA538" s="62" t="str">
        <f t="shared" si="145"/>
        <v/>
      </c>
    </row>
    <row r="539" spans="3:27">
      <c r="C539" s="82"/>
      <c r="E539" s="30" t="str">
        <f t="shared" si="142"/>
        <v>00:00:00</v>
      </c>
      <c r="F539" s="36" t="str">
        <f t="shared" si="135"/>
        <v/>
      </c>
      <c r="G539" s="36">
        <f t="shared" si="136"/>
        <v>0</v>
      </c>
      <c r="H539" s="3" t="str">
        <f t="shared" si="137"/>
        <v/>
      </c>
      <c r="I539" s="3">
        <f t="shared" si="138"/>
        <v>0</v>
      </c>
      <c r="L539" s="35">
        <f t="shared" si="146"/>
        <v>1</v>
      </c>
      <c r="O539" s="27">
        <f t="shared" si="139"/>
        <v>0</v>
      </c>
      <c r="P539" s="3">
        <v>537</v>
      </c>
      <c r="Q539" s="3" t="e">
        <f t="shared" si="143"/>
        <v>#N/A</v>
      </c>
      <c r="R539" s="3" t="e">
        <f t="shared" si="144"/>
        <v>#N/A</v>
      </c>
      <c r="T539" s="46" t="str">
        <f t="shared" si="140"/>
        <v/>
      </c>
      <c r="U539" s="48" t="str">
        <f t="shared" si="141"/>
        <v/>
      </c>
      <c r="W539" s="56">
        <f t="shared" si="132"/>
        <v>0</v>
      </c>
      <c r="X539" s="57" t="str">
        <f t="shared" si="133"/>
        <v/>
      </c>
      <c r="Y539" s="58">
        <f t="shared" si="134"/>
        <v>0</v>
      </c>
      <c r="AA539" s="62" t="str">
        <f t="shared" si="145"/>
        <v/>
      </c>
    </row>
    <row r="540" spans="3:27">
      <c r="C540" s="82"/>
      <c r="E540" s="30" t="str">
        <f t="shared" si="142"/>
        <v>00:00:00</v>
      </c>
      <c r="F540" s="36" t="str">
        <f t="shared" si="135"/>
        <v/>
      </c>
      <c r="G540" s="36">
        <f t="shared" si="136"/>
        <v>0</v>
      </c>
      <c r="H540" s="3" t="str">
        <f t="shared" si="137"/>
        <v/>
      </c>
      <c r="I540" s="3">
        <f t="shared" si="138"/>
        <v>0</v>
      </c>
      <c r="L540" s="35">
        <f t="shared" si="146"/>
        <v>1</v>
      </c>
      <c r="O540" s="27">
        <f t="shared" si="139"/>
        <v>0</v>
      </c>
      <c r="P540" s="3">
        <v>538</v>
      </c>
      <c r="Q540" s="3" t="e">
        <f t="shared" si="143"/>
        <v>#N/A</v>
      </c>
      <c r="R540" s="3" t="e">
        <f t="shared" si="144"/>
        <v>#N/A</v>
      </c>
      <c r="T540" s="46" t="str">
        <f t="shared" si="140"/>
        <v/>
      </c>
      <c r="U540" s="48" t="str">
        <f t="shared" si="141"/>
        <v/>
      </c>
      <c r="W540" s="56">
        <f t="shared" si="132"/>
        <v>0</v>
      </c>
      <c r="X540" s="57" t="str">
        <f t="shared" si="133"/>
        <v/>
      </c>
      <c r="Y540" s="58">
        <f t="shared" si="134"/>
        <v>0</v>
      </c>
      <c r="AA540" s="62" t="str">
        <f t="shared" si="145"/>
        <v/>
      </c>
    </row>
    <row r="541" spans="3:27">
      <c r="C541" s="82"/>
      <c r="E541" s="30" t="str">
        <f t="shared" si="142"/>
        <v>00:00:00</v>
      </c>
      <c r="F541" s="36" t="str">
        <f t="shared" si="135"/>
        <v/>
      </c>
      <c r="G541" s="36">
        <f t="shared" si="136"/>
        <v>0</v>
      </c>
      <c r="H541" s="3" t="str">
        <f t="shared" si="137"/>
        <v/>
      </c>
      <c r="I541" s="3">
        <f t="shared" si="138"/>
        <v>0</v>
      </c>
      <c r="L541" s="35">
        <f t="shared" si="146"/>
        <v>1</v>
      </c>
      <c r="O541" s="27">
        <f t="shared" si="139"/>
        <v>0</v>
      </c>
      <c r="P541" s="3">
        <v>539</v>
      </c>
      <c r="Q541" s="3" t="e">
        <f t="shared" si="143"/>
        <v>#N/A</v>
      </c>
      <c r="R541" s="3" t="e">
        <f t="shared" si="144"/>
        <v>#N/A</v>
      </c>
      <c r="T541" s="46" t="str">
        <f t="shared" si="140"/>
        <v/>
      </c>
      <c r="U541" s="48" t="str">
        <f t="shared" si="141"/>
        <v/>
      </c>
      <c r="W541" s="56">
        <f t="shared" si="132"/>
        <v>0</v>
      </c>
      <c r="X541" s="57" t="str">
        <f t="shared" si="133"/>
        <v/>
      </c>
      <c r="Y541" s="58">
        <f t="shared" si="134"/>
        <v>0</v>
      </c>
      <c r="AA541" s="62" t="str">
        <f t="shared" si="145"/>
        <v/>
      </c>
    </row>
    <row r="542" spans="3:27">
      <c r="C542" s="82"/>
      <c r="E542" s="30" t="str">
        <f t="shared" si="142"/>
        <v>00:00:00</v>
      </c>
      <c r="F542" s="36" t="str">
        <f t="shared" si="135"/>
        <v/>
      </c>
      <c r="G542" s="36">
        <f t="shared" si="136"/>
        <v>0</v>
      </c>
      <c r="H542" s="3" t="str">
        <f t="shared" si="137"/>
        <v/>
      </c>
      <c r="I542" s="3">
        <f t="shared" si="138"/>
        <v>0</v>
      </c>
      <c r="L542" s="35">
        <f t="shared" si="146"/>
        <v>1</v>
      </c>
      <c r="O542" s="27">
        <f t="shared" si="139"/>
        <v>0</v>
      </c>
      <c r="P542" s="3">
        <v>540</v>
      </c>
      <c r="Q542" s="3" t="e">
        <f t="shared" si="143"/>
        <v>#N/A</v>
      </c>
      <c r="R542" s="3" t="e">
        <f t="shared" si="144"/>
        <v>#N/A</v>
      </c>
      <c r="T542" s="46" t="str">
        <f t="shared" si="140"/>
        <v/>
      </c>
      <c r="U542" s="48" t="str">
        <f t="shared" si="141"/>
        <v/>
      </c>
      <c r="W542" s="56">
        <f t="shared" si="132"/>
        <v>0</v>
      </c>
      <c r="X542" s="57" t="str">
        <f t="shared" si="133"/>
        <v/>
      </c>
      <c r="Y542" s="58">
        <f t="shared" si="134"/>
        <v>0</v>
      </c>
      <c r="AA542" s="62" t="str">
        <f t="shared" si="145"/>
        <v/>
      </c>
    </row>
    <row r="543" spans="3:27">
      <c r="C543" s="82"/>
      <c r="E543" s="30" t="str">
        <f t="shared" si="142"/>
        <v>00:00:00</v>
      </c>
      <c r="F543" s="36" t="str">
        <f t="shared" si="135"/>
        <v/>
      </c>
      <c r="G543" s="36">
        <f t="shared" si="136"/>
        <v>0</v>
      </c>
      <c r="H543" s="3" t="str">
        <f t="shared" si="137"/>
        <v/>
      </c>
      <c r="I543" s="3">
        <f t="shared" si="138"/>
        <v>0</v>
      </c>
      <c r="L543" s="35">
        <f t="shared" si="146"/>
        <v>1</v>
      </c>
      <c r="O543" s="27">
        <f t="shared" si="139"/>
        <v>0</v>
      </c>
      <c r="P543" s="3">
        <v>541</v>
      </c>
      <c r="Q543" s="3" t="e">
        <f t="shared" si="143"/>
        <v>#N/A</v>
      </c>
      <c r="R543" s="3" t="e">
        <f t="shared" si="144"/>
        <v>#N/A</v>
      </c>
      <c r="T543" s="46" t="str">
        <f t="shared" si="140"/>
        <v/>
      </c>
      <c r="U543" s="48" t="str">
        <f t="shared" si="141"/>
        <v/>
      </c>
      <c r="W543" s="56">
        <f t="shared" si="132"/>
        <v>0</v>
      </c>
      <c r="X543" s="57" t="str">
        <f t="shared" si="133"/>
        <v/>
      </c>
      <c r="Y543" s="58">
        <f t="shared" si="134"/>
        <v>0</v>
      </c>
      <c r="AA543" s="62" t="str">
        <f t="shared" si="145"/>
        <v/>
      </c>
    </row>
    <row r="544" spans="3:27">
      <c r="C544" s="82"/>
      <c r="E544" s="30" t="str">
        <f t="shared" si="142"/>
        <v>00:00:00</v>
      </c>
      <c r="F544" s="36" t="str">
        <f t="shared" si="135"/>
        <v/>
      </c>
      <c r="G544" s="36">
        <f t="shared" si="136"/>
        <v>0</v>
      </c>
      <c r="H544" s="3" t="str">
        <f t="shared" si="137"/>
        <v/>
      </c>
      <c r="I544" s="3">
        <f t="shared" si="138"/>
        <v>0</v>
      </c>
      <c r="L544" s="35">
        <f t="shared" si="146"/>
        <v>1</v>
      </c>
      <c r="O544" s="27">
        <f t="shared" si="139"/>
        <v>0</v>
      </c>
      <c r="P544" s="3">
        <v>542</v>
      </c>
      <c r="Q544" s="3" t="e">
        <f t="shared" si="143"/>
        <v>#N/A</v>
      </c>
      <c r="R544" s="3" t="e">
        <f t="shared" si="144"/>
        <v>#N/A</v>
      </c>
      <c r="T544" s="46" t="str">
        <f t="shared" si="140"/>
        <v/>
      </c>
      <c r="U544" s="48" t="str">
        <f t="shared" si="141"/>
        <v/>
      </c>
      <c r="W544" s="56">
        <f t="shared" si="132"/>
        <v>0</v>
      </c>
      <c r="X544" s="57" t="str">
        <f t="shared" si="133"/>
        <v/>
      </c>
      <c r="Y544" s="58">
        <f t="shared" si="134"/>
        <v>0</v>
      </c>
      <c r="AA544" s="62" t="str">
        <f t="shared" si="145"/>
        <v/>
      </c>
    </row>
    <row r="545" spans="3:27">
      <c r="C545" s="82"/>
      <c r="E545" s="30" t="str">
        <f t="shared" si="142"/>
        <v>00:00:00</v>
      </c>
      <c r="F545" s="36" t="str">
        <f t="shared" si="135"/>
        <v/>
      </c>
      <c r="G545" s="36">
        <f t="shared" si="136"/>
        <v>0</v>
      </c>
      <c r="H545" s="3" t="str">
        <f t="shared" si="137"/>
        <v/>
      </c>
      <c r="I545" s="3">
        <f t="shared" si="138"/>
        <v>0</v>
      </c>
      <c r="L545" s="35">
        <f t="shared" si="146"/>
        <v>1</v>
      </c>
      <c r="O545" s="27">
        <f t="shared" si="139"/>
        <v>0</v>
      </c>
      <c r="P545" s="3">
        <v>543</v>
      </c>
      <c r="Q545" s="3" t="e">
        <f t="shared" si="143"/>
        <v>#N/A</v>
      </c>
      <c r="R545" s="3" t="e">
        <f t="shared" si="144"/>
        <v>#N/A</v>
      </c>
      <c r="T545" s="46" t="str">
        <f t="shared" si="140"/>
        <v/>
      </c>
      <c r="U545" s="48" t="str">
        <f t="shared" si="141"/>
        <v/>
      </c>
      <c r="W545" s="56">
        <f t="shared" si="132"/>
        <v>0</v>
      </c>
      <c r="X545" s="57" t="str">
        <f t="shared" si="133"/>
        <v/>
      </c>
      <c r="Y545" s="58">
        <f t="shared" si="134"/>
        <v>0</v>
      </c>
      <c r="AA545" s="62" t="str">
        <f t="shared" si="145"/>
        <v/>
      </c>
    </row>
    <row r="546" spans="3:27">
      <c r="C546" s="82"/>
      <c r="E546" s="30" t="str">
        <f t="shared" si="142"/>
        <v>00:00:00</v>
      </c>
      <c r="F546" s="36" t="str">
        <f t="shared" si="135"/>
        <v/>
      </c>
      <c r="G546" s="36">
        <f t="shared" si="136"/>
        <v>0</v>
      </c>
      <c r="H546" s="3" t="str">
        <f t="shared" si="137"/>
        <v/>
      </c>
      <c r="I546" s="3">
        <f t="shared" si="138"/>
        <v>0</v>
      </c>
      <c r="L546" s="35">
        <f t="shared" si="146"/>
        <v>1</v>
      </c>
      <c r="O546" s="27">
        <f t="shared" si="139"/>
        <v>0</v>
      </c>
      <c r="P546" s="3">
        <v>544</v>
      </c>
      <c r="Q546" s="3" t="e">
        <f t="shared" si="143"/>
        <v>#N/A</v>
      </c>
      <c r="R546" s="3" t="e">
        <f t="shared" si="144"/>
        <v>#N/A</v>
      </c>
      <c r="T546" s="46" t="str">
        <f t="shared" si="140"/>
        <v/>
      </c>
      <c r="U546" s="48" t="str">
        <f t="shared" si="141"/>
        <v/>
      </c>
      <c r="W546" s="56">
        <f t="shared" si="132"/>
        <v>0</v>
      </c>
      <c r="X546" s="57" t="str">
        <f t="shared" si="133"/>
        <v/>
      </c>
      <c r="Y546" s="58">
        <f t="shared" si="134"/>
        <v>0</v>
      </c>
      <c r="AA546" s="62" t="str">
        <f t="shared" si="145"/>
        <v/>
      </c>
    </row>
    <row r="547" spans="3:27">
      <c r="C547" s="82"/>
      <c r="E547" s="30" t="str">
        <f t="shared" si="142"/>
        <v>00:00:00</v>
      </c>
      <c r="F547" s="36" t="str">
        <f t="shared" si="135"/>
        <v/>
      </c>
      <c r="G547" s="36">
        <f t="shared" si="136"/>
        <v>0</v>
      </c>
      <c r="H547" s="3" t="str">
        <f t="shared" si="137"/>
        <v/>
      </c>
      <c r="I547" s="3">
        <f t="shared" si="138"/>
        <v>0</v>
      </c>
      <c r="L547" s="35">
        <f t="shared" si="146"/>
        <v>1</v>
      </c>
      <c r="O547" s="27">
        <f t="shared" si="139"/>
        <v>0</v>
      </c>
      <c r="P547" s="3">
        <v>545</v>
      </c>
      <c r="Q547" s="3" t="e">
        <f t="shared" si="143"/>
        <v>#N/A</v>
      </c>
      <c r="R547" s="3" t="e">
        <f t="shared" si="144"/>
        <v>#N/A</v>
      </c>
      <c r="T547" s="46" t="str">
        <f t="shared" si="140"/>
        <v/>
      </c>
      <c r="U547" s="48" t="str">
        <f t="shared" si="141"/>
        <v/>
      </c>
      <c r="W547" s="56">
        <f t="shared" si="132"/>
        <v>0</v>
      </c>
      <c r="X547" s="57" t="str">
        <f t="shared" si="133"/>
        <v/>
      </c>
      <c r="Y547" s="58">
        <f t="shared" si="134"/>
        <v>0</v>
      </c>
      <c r="AA547" s="62" t="str">
        <f t="shared" si="145"/>
        <v/>
      </c>
    </row>
    <row r="548" spans="3:27">
      <c r="C548" s="82"/>
      <c r="E548" s="30" t="str">
        <f t="shared" si="142"/>
        <v>00:00:00</v>
      </c>
      <c r="F548" s="36" t="str">
        <f t="shared" si="135"/>
        <v/>
      </c>
      <c r="G548" s="36">
        <f t="shared" si="136"/>
        <v>0</v>
      </c>
      <c r="H548" s="3" t="str">
        <f t="shared" si="137"/>
        <v/>
      </c>
      <c r="I548" s="3">
        <f t="shared" si="138"/>
        <v>0</v>
      </c>
      <c r="L548" s="35">
        <f t="shared" si="146"/>
        <v>1</v>
      </c>
      <c r="O548" s="27">
        <f t="shared" si="139"/>
        <v>0</v>
      </c>
      <c r="P548" s="3">
        <v>546</v>
      </c>
      <c r="Q548" s="3" t="e">
        <f t="shared" si="143"/>
        <v>#N/A</v>
      </c>
      <c r="R548" s="3" t="e">
        <f t="shared" si="144"/>
        <v>#N/A</v>
      </c>
      <c r="T548" s="46" t="str">
        <f t="shared" si="140"/>
        <v/>
      </c>
      <c r="U548" s="48" t="str">
        <f t="shared" si="141"/>
        <v/>
      </c>
      <c r="W548" s="56">
        <f t="shared" si="132"/>
        <v>0</v>
      </c>
      <c r="X548" s="57" t="str">
        <f t="shared" si="133"/>
        <v/>
      </c>
      <c r="Y548" s="58">
        <f t="shared" si="134"/>
        <v>0</v>
      </c>
      <c r="AA548" s="62" t="str">
        <f t="shared" si="145"/>
        <v/>
      </c>
    </row>
    <row r="549" spans="3:27">
      <c r="C549" s="82"/>
      <c r="E549" s="30" t="str">
        <f t="shared" si="142"/>
        <v>00:00:00</v>
      </c>
      <c r="F549" s="36" t="str">
        <f t="shared" si="135"/>
        <v/>
      </c>
      <c r="G549" s="36">
        <f t="shared" si="136"/>
        <v>0</v>
      </c>
      <c r="H549" s="3" t="str">
        <f t="shared" si="137"/>
        <v/>
      </c>
      <c r="I549" s="3">
        <f t="shared" si="138"/>
        <v>0</v>
      </c>
      <c r="L549" s="35">
        <f t="shared" si="146"/>
        <v>1</v>
      </c>
      <c r="O549" s="27">
        <f t="shared" si="139"/>
        <v>0</v>
      </c>
      <c r="P549" s="3">
        <v>547</v>
      </c>
      <c r="Q549" s="3" t="e">
        <f t="shared" si="143"/>
        <v>#N/A</v>
      </c>
      <c r="R549" s="3" t="e">
        <f t="shared" si="144"/>
        <v>#N/A</v>
      </c>
      <c r="T549" s="46" t="str">
        <f t="shared" si="140"/>
        <v/>
      </c>
      <c r="U549" s="48" t="str">
        <f t="shared" si="141"/>
        <v/>
      </c>
      <c r="W549" s="56">
        <f t="shared" si="132"/>
        <v>0</v>
      </c>
      <c r="X549" s="57" t="str">
        <f t="shared" si="133"/>
        <v/>
      </c>
      <c r="Y549" s="58">
        <f t="shared" si="134"/>
        <v>0</v>
      </c>
      <c r="AA549" s="62" t="str">
        <f t="shared" si="145"/>
        <v/>
      </c>
    </row>
    <row r="550" spans="3:27">
      <c r="C550" s="82"/>
      <c r="E550" s="30" t="str">
        <f t="shared" si="142"/>
        <v>00:00:00</v>
      </c>
      <c r="F550" s="36" t="str">
        <f t="shared" si="135"/>
        <v/>
      </c>
      <c r="G550" s="36">
        <f t="shared" si="136"/>
        <v>0</v>
      </c>
      <c r="H550" s="3" t="str">
        <f t="shared" si="137"/>
        <v/>
      </c>
      <c r="I550" s="3">
        <f t="shared" si="138"/>
        <v>0</v>
      </c>
      <c r="L550" s="35">
        <f t="shared" si="146"/>
        <v>1</v>
      </c>
      <c r="O550" s="27">
        <f t="shared" si="139"/>
        <v>0</v>
      </c>
      <c r="P550" s="3">
        <v>548</v>
      </c>
      <c r="Q550" s="3" t="e">
        <f t="shared" si="143"/>
        <v>#N/A</v>
      </c>
      <c r="R550" s="3" t="e">
        <f t="shared" si="144"/>
        <v>#N/A</v>
      </c>
      <c r="T550" s="46" t="str">
        <f t="shared" si="140"/>
        <v/>
      </c>
      <c r="U550" s="48" t="str">
        <f t="shared" si="141"/>
        <v/>
      </c>
      <c r="W550" s="56">
        <f t="shared" si="132"/>
        <v>0</v>
      </c>
      <c r="X550" s="57" t="str">
        <f t="shared" si="133"/>
        <v/>
      </c>
      <c r="Y550" s="58">
        <f t="shared" si="134"/>
        <v>0</v>
      </c>
      <c r="AA550" s="62" t="str">
        <f t="shared" si="145"/>
        <v/>
      </c>
    </row>
    <row r="551" spans="3:27">
      <c r="C551" s="82"/>
      <c r="E551" s="30" t="str">
        <f t="shared" si="142"/>
        <v>00:00:00</v>
      </c>
      <c r="F551" s="36" t="str">
        <f t="shared" si="135"/>
        <v/>
      </c>
      <c r="G551" s="36">
        <f t="shared" si="136"/>
        <v>0</v>
      </c>
      <c r="H551" s="3" t="str">
        <f t="shared" si="137"/>
        <v/>
      </c>
      <c r="I551" s="3">
        <f t="shared" si="138"/>
        <v>0</v>
      </c>
      <c r="L551" s="35">
        <f t="shared" si="146"/>
        <v>1</v>
      </c>
      <c r="O551" s="27">
        <f t="shared" si="139"/>
        <v>0</v>
      </c>
      <c r="P551" s="3">
        <v>549</v>
      </c>
      <c r="Q551" s="3" t="e">
        <f t="shared" si="143"/>
        <v>#N/A</v>
      </c>
      <c r="R551" s="3" t="e">
        <f t="shared" si="144"/>
        <v>#N/A</v>
      </c>
      <c r="T551" s="46" t="str">
        <f t="shared" si="140"/>
        <v/>
      </c>
      <c r="U551" s="48" t="str">
        <f t="shared" si="141"/>
        <v/>
      </c>
      <c r="W551" s="56">
        <f t="shared" si="132"/>
        <v>0</v>
      </c>
      <c r="X551" s="57" t="str">
        <f t="shared" si="133"/>
        <v/>
      </c>
      <c r="Y551" s="58">
        <f t="shared" si="134"/>
        <v>0</v>
      </c>
      <c r="AA551" s="62" t="str">
        <f t="shared" si="145"/>
        <v/>
      </c>
    </row>
    <row r="552" spans="3:27">
      <c r="C552" s="82"/>
      <c r="E552" s="30" t="str">
        <f t="shared" si="142"/>
        <v>00:00:00</v>
      </c>
      <c r="F552" s="36" t="str">
        <f t="shared" si="135"/>
        <v/>
      </c>
      <c r="G552" s="36">
        <f t="shared" si="136"/>
        <v>0</v>
      </c>
      <c r="H552" s="3" t="str">
        <f t="shared" si="137"/>
        <v/>
      </c>
      <c r="I552" s="3">
        <f t="shared" si="138"/>
        <v>0</v>
      </c>
      <c r="L552" s="35">
        <f t="shared" si="146"/>
        <v>1</v>
      </c>
      <c r="O552" s="27">
        <f t="shared" si="139"/>
        <v>0</v>
      </c>
      <c r="P552" s="3">
        <v>550</v>
      </c>
      <c r="Q552" s="3" t="e">
        <f t="shared" si="143"/>
        <v>#N/A</v>
      </c>
      <c r="R552" s="3" t="e">
        <f t="shared" si="144"/>
        <v>#N/A</v>
      </c>
      <c r="T552" s="46" t="str">
        <f t="shared" si="140"/>
        <v/>
      </c>
      <c r="U552" s="48" t="str">
        <f t="shared" si="141"/>
        <v/>
      </c>
      <c r="W552" s="56">
        <f t="shared" si="132"/>
        <v>0</v>
      </c>
      <c r="X552" s="57" t="str">
        <f t="shared" si="133"/>
        <v/>
      </c>
      <c r="Y552" s="58">
        <f t="shared" si="134"/>
        <v>0</v>
      </c>
      <c r="AA552" s="62" t="str">
        <f t="shared" si="145"/>
        <v/>
      </c>
    </row>
    <row r="553" spans="3:27">
      <c r="C553" s="82"/>
      <c r="E553" s="30" t="str">
        <f t="shared" si="142"/>
        <v>00:00:00</v>
      </c>
      <c r="F553" s="36" t="str">
        <f t="shared" si="135"/>
        <v/>
      </c>
      <c r="G553" s="36">
        <f t="shared" si="136"/>
        <v>0</v>
      </c>
      <c r="H553" s="3" t="str">
        <f t="shared" si="137"/>
        <v/>
      </c>
      <c r="I553" s="3">
        <f t="shared" si="138"/>
        <v>0</v>
      </c>
      <c r="L553" s="35">
        <f t="shared" si="146"/>
        <v>1</v>
      </c>
      <c r="O553" s="27">
        <f t="shared" si="139"/>
        <v>0</v>
      </c>
      <c r="P553" s="3">
        <v>551</v>
      </c>
      <c r="Q553" s="3" t="e">
        <f t="shared" si="143"/>
        <v>#N/A</v>
      </c>
      <c r="R553" s="3" t="e">
        <f t="shared" si="144"/>
        <v>#N/A</v>
      </c>
      <c r="T553" s="46" t="str">
        <f t="shared" si="140"/>
        <v/>
      </c>
      <c r="U553" s="48" t="str">
        <f t="shared" si="141"/>
        <v/>
      </c>
      <c r="W553" s="56">
        <f t="shared" si="132"/>
        <v>0</v>
      </c>
      <c r="X553" s="57" t="str">
        <f t="shared" si="133"/>
        <v/>
      </c>
      <c r="Y553" s="58">
        <f t="shared" si="134"/>
        <v>0</v>
      </c>
      <c r="AA553" s="62" t="str">
        <f t="shared" si="145"/>
        <v/>
      </c>
    </row>
    <row r="554" spans="3:27">
      <c r="C554" s="82"/>
      <c r="E554" s="30" t="str">
        <f t="shared" si="142"/>
        <v>00:00:00</v>
      </c>
      <c r="F554" s="36" t="str">
        <f t="shared" si="135"/>
        <v/>
      </c>
      <c r="G554" s="36">
        <f t="shared" si="136"/>
        <v>0</v>
      </c>
      <c r="H554" s="3" t="str">
        <f t="shared" si="137"/>
        <v/>
      </c>
      <c r="I554" s="3">
        <f t="shared" si="138"/>
        <v>0</v>
      </c>
      <c r="L554" s="35">
        <f t="shared" si="146"/>
        <v>1</v>
      </c>
      <c r="O554" s="27">
        <f t="shared" si="139"/>
        <v>0</v>
      </c>
      <c r="P554" s="3">
        <v>552</v>
      </c>
      <c r="Q554" s="3" t="e">
        <f t="shared" si="143"/>
        <v>#N/A</v>
      </c>
      <c r="R554" s="3" t="e">
        <f t="shared" si="144"/>
        <v>#N/A</v>
      </c>
      <c r="T554" s="46" t="str">
        <f t="shared" si="140"/>
        <v/>
      </c>
      <c r="U554" s="48" t="str">
        <f t="shared" si="141"/>
        <v/>
      </c>
      <c r="W554" s="56">
        <f t="shared" si="132"/>
        <v>0</v>
      </c>
      <c r="X554" s="57" t="str">
        <f t="shared" si="133"/>
        <v/>
      </c>
      <c r="Y554" s="58">
        <f t="shared" si="134"/>
        <v>0</v>
      </c>
      <c r="AA554" s="62" t="str">
        <f t="shared" si="145"/>
        <v/>
      </c>
    </row>
    <row r="555" spans="3:27">
      <c r="C555" s="82"/>
      <c r="E555" s="30" t="str">
        <f t="shared" si="142"/>
        <v>00:00:00</v>
      </c>
      <c r="F555" s="36" t="str">
        <f t="shared" si="135"/>
        <v/>
      </c>
      <c r="G555" s="36">
        <f t="shared" si="136"/>
        <v>0</v>
      </c>
      <c r="H555" s="3" t="str">
        <f t="shared" si="137"/>
        <v/>
      </c>
      <c r="I555" s="3">
        <f t="shared" si="138"/>
        <v>0</v>
      </c>
      <c r="L555" s="35">
        <f t="shared" si="146"/>
        <v>1</v>
      </c>
      <c r="O555" s="27">
        <f t="shared" si="139"/>
        <v>0</v>
      </c>
      <c r="P555" s="3">
        <v>553</v>
      </c>
      <c r="Q555" s="3" t="e">
        <f t="shared" si="143"/>
        <v>#N/A</v>
      </c>
      <c r="R555" s="3" t="e">
        <f t="shared" si="144"/>
        <v>#N/A</v>
      </c>
      <c r="T555" s="46" t="str">
        <f t="shared" si="140"/>
        <v/>
      </c>
      <c r="U555" s="48" t="str">
        <f t="shared" si="141"/>
        <v/>
      </c>
      <c r="W555" s="56">
        <f t="shared" si="132"/>
        <v>0</v>
      </c>
      <c r="X555" s="57" t="str">
        <f t="shared" si="133"/>
        <v/>
      </c>
      <c r="Y555" s="58">
        <f t="shared" si="134"/>
        <v>0</v>
      </c>
      <c r="AA555" s="62" t="str">
        <f t="shared" si="145"/>
        <v/>
      </c>
    </row>
    <row r="556" spans="3:27">
      <c r="C556" s="82"/>
      <c r="E556" s="30" t="str">
        <f t="shared" si="142"/>
        <v>00:00:00</v>
      </c>
      <c r="F556" s="36" t="str">
        <f t="shared" si="135"/>
        <v/>
      </c>
      <c r="G556" s="36">
        <f t="shared" si="136"/>
        <v>0</v>
      </c>
      <c r="H556" s="3" t="str">
        <f t="shared" si="137"/>
        <v/>
      </c>
      <c r="I556" s="3">
        <f t="shared" si="138"/>
        <v>0</v>
      </c>
      <c r="L556" s="35">
        <f t="shared" si="146"/>
        <v>1</v>
      </c>
      <c r="O556" s="27">
        <f t="shared" si="139"/>
        <v>0</v>
      </c>
      <c r="P556" s="3">
        <v>554</v>
      </c>
      <c r="Q556" s="3" t="e">
        <f t="shared" si="143"/>
        <v>#N/A</v>
      </c>
      <c r="R556" s="3" t="e">
        <f t="shared" si="144"/>
        <v>#N/A</v>
      </c>
      <c r="T556" s="46" t="str">
        <f t="shared" si="140"/>
        <v/>
      </c>
      <c r="U556" s="48" t="str">
        <f t="shared" si="141"/>
        <v/>
      </c>
      <c r="W556" s="56">
        <f t="shared" si="132"/>
        <v>0</v>
      </c>
      <c r="X556" s="57" t="str">
        <f t="shared" si="133"/>
        <v/>
      </c>
      <c r="Y556" s="58">
        <f t="shared" si="134"/>
        <v>0</v>
      </c>
      <c r="AA556" s="62" t="str">
        <f t="shared" si="145"/>
        <v/>
      </c>
    </row>
    <row r="557" spans="3:27">
      <c r="C557" s="82"/>
      <c r="E557" s="30" t="str">
        <f t="shared" si="142"/>
        <v>00:00:00</v>
      </c>
      <c r="F557" s="36" t="str">
        <f t="shared" si="135"/>
        <v/>
      </c>
      <c r="G557" s="36">
        <f t="shared" si="136"/>
        <v>0</v>
      </c>
      <c r="H557" s="3" t="str">
        <f t="shared" si="137"/>
        <v/>
      </c>
      <c r="I557" s="3">
        <f t="shared" si="138"/>
        <v>0</v>
      </c>
      <c r="L557" s="35">
        <f t="shared" si="146"/>
        <v>1</v>
      </c>
      <c r="O557" s="27">
        <f t="shared" si="139"/>
        <v>0</v>
      </c>
      <c r="P557" s="3">
        <v>555</v>
      </c>
      <c r="Q557" s="3" t="e">
        <f t="shared" si="143"/>
        <v>#N/A</v>
      </c>
      <c r="R557" s="3" t="e">
        <f t="shared" si="144"/>
        <v>#N/A</v>
      </c>
      <c r="T557" s="46" t="str">
        <f t="shared" si="140"/>
        <v/>
      </c>
      <c r="U557" s="48" t="str">
        <f t="shared" si="141"/>
        <v/>
      </c>
      <c r="W557" s="56">
        <f t="shared" si="132"/>
        <v>0</v>
      </c>
      <c r="X557" s="57" t="str">
        <f t="shared" si="133"/>
        <v/>
      </c>
      <c r="Y557" s="58">
        <f t="shared" si="134"/>
        <v>0</v>
      </c>
      <c r="AA557" s="62" t="str">
        <f t="shared" si="145"/>
        <v/>
      </c>
    </row>
    <row r="558" spans="3:27">
      <c r="C558" s="82"/>
      <c r="E558" s="30" t="str">
        <f t="shared" si="142"/>
        <v>00:00:00</v>
      </c>
      <c r="F558" s="36" t="str">
        <f t="shared" si="135"/>
        <v/>
      </c>
      <c r="G558" s="36">
        <f t="shared" si="136"/>
        <v>0</v>
      </c>
      <c r="H558" s="3" t="str">
        <f t="shared" si="137"/>
        <v/>
      </c>
      <c r="I558" s="3">
        <f t="shared" si="138"/>
        <v>0</v>
      </c>
      <c r="L558" s="35">
        <f t="shared" si="146"/>
        <v>1</v>
      </c>
      <c r="O558" s="27">
        <f t="shared" si="139"/>
        <v>0</v>
      </c>
      <c r="P558" s="3">
        <v>556</v>
      </c>
      <c r="Q558" s="3" t="e">
        <f t="shared" si="143"/>
        <v>#N/A</v>
      </c>
      <c r="R558" s="3" t="e">
        <f t="shared" si="144"/>
        <v>#N/A</v>
      </c>
      <c r="T558" s="46" t="str">
        <f t="shared" si="140"/>
        <v/>
      </c>
      <c r="U558" s="48" t="str">
        <f t="shared" si="141"/>
        <v/>
      </c>
      <c r="W558" s="56">
        <f t="shared" si="132"/>
        <v>0</v>
      </c>
      <c r="X558" s="57" t="str">
        <f t="shared" si="133"/>
        <v/>
      </c>
      <c r="Y558" s="58">
        <f t="shared" si="134"/>
        <v>0</v>
      </c>
      <c r="AA558" s="62" t="str">
        <f t="shared" si="145"/>
        <v/>
      </c>
    </row>
    <row r="559" spans="3:27">
      <c r="C559" s="82"/>
      <c r="E559" s="30" t="str">
        <f t="shared" si="142"/>
        <v>00:00:00</v>
      </c>
      <c r="F559" s="36" t="str">
        <f t="shared" si="135"/>
        <v/>
      </c>
      <c r="G559" s="36">
        <f t="shared" si="136"/>
        <v>0</v>
      </c>
      <c r="H559" s="3" t="str">
        <f t="shared" si="137"/>
        <v/>
      </c>
      <c r="I559" s="3">
        <f t="shared" si="138"/>
        <v>0</v>
      </c>
      <c r="L559" s="35">
        <f t="shared" si="146"/>
        <v>1</v>
      </c>
      <c r="O559" s="27">
        <f t="shared" si="139"/>
        <v>0</v>
      </c>
      <c r="P559" s="3">
        <v>557</v>
      </c>
      <c r="Q559" s="3" t="e">
        <f t="shared" si="143"/>
        <v>#N/A</v>
      </c>
      <c r="R559" s="3" t="e">
        <f t="shared" si="144"/>
        <v>#N/A</v>
      </c>
      <c r="T559" s="46" t="str">
        <f t="shared" si="140"/>
        <v/>
      </c>
      <c r="U559" s="48" t="str">
        <f t="shared" si="141"/>
        <v/>
      </c>
      <c r="W559" s="56">
        <f t="shared" si="132"/>
        <v>0</v>
      </c>
      <c r="X559" s="57" t="str">
        <f t="shared" si="133"/>
        <v/>
      </c>
      <c r="Y559" s="58">
        <f t="shared" si="134"/>
        <v>0</v>
      </c>
      <c r="AA559" s="62" t="str">
        <f t="shared" si="145"/>
        <v/>
      </c>
    </row>
    <row r="560" spans="3:27">
      <c r="C560" s="82"/>
      <c r="E560" s="30" t="str">
        <f t="shared" si="142"/>
        <v>00:00:00</v>
      </c>
      <c r="F560" s="36" t="str">
        <f t="shared" si="135"/>
        <v/>
      </c>
      <c r="G560" s="36">
        <f t="shared" si="136"/>
        <v>0</v>
      </c>
      <c r="H560" s="3" t="str">
        <f t="shared" si="137"/>
        <v/>
      </c>
      <c r="I560" s="3">
        <f t="shared" si="138"/>
        <v>0</v>
      </c>
      <c r="L560" s="35">
        <f t="shared" si="146"/>
        <v>1</v>
      </c>
      <c r="O560" s="27">
        <f t="shared" si="139"/>
        <v>0</v>
      </c>
      <c r="P560" s="3">
        <v>558</v>
      </c>
      <c r="Q560" s="3" t="e">
        <f t="shared" si="143"/>
        <v>#N/A</v>
      </c>
      <c r="R560" s="3" t="e">
        <f t="shared" si="144"/>
        <v>#N/A</v>
      </c>
      <c r="T560" s="46" t="str">
        <f t="shared" si="140"/>
        <v/>
      </c>
      <c r="U560" s="48" t="str">
        <f t="shared" si="141"/>
        <v/>
      </c>
      <c r="W560" s="56">
        <f t="shared" si="132"/>
        <v>0</v>
      </c>
      <c r="X560" s="57" t="str">
        <f t="shared" si="133"/>
        <v/>
      </c>
      <c r="Y560" s="58">
        <f t="shared" si="134"/>
        <v>0</v>
      </c>
      <c r="AA560" s="62" t="str">
        <f t="shared" si="145"/>
        <v/>
      </c>
    </row>
    <row r="561" spans="3:27">
      <c r="C561" s="82"/>
      <c r="E561" s="30" t="str">
        <f t="shared" si="142"/>
        <v>00:00:00</v>
      </c>
      <c r="F561" s="36" t="str">
        <f t="shared" si="135"/>
        <v/>
      </c>
      <c r="G561" s="36">
        <f t="shared" si="136"/>
        <v>0</v>
      </c>
      <c r="H561" s="3" t="str">
        <f t="shared" si="137"/>
        <v/>
      </c>
      <c r="I561" s="3">
        <f t="shared" si="138"/>
        <v>0</v>
      </c>
      <c r="L561" s="35">
        <f t="shared" si="146"/>
        <v>1</v>
      </c>
      <c r="O561" s="27">
        <f t="shared" si="139"/>
        <v>0</v>
      </c>
      <c r="P561" s="3">
        <v>559</v>
      </c>
      <c r="Q561" s="3" t="e">
        <f t="shared" si="143"/>
        <v>#N/A</v>
      </c>
      <c r="R561" s="3" t="e">
        <f t="shared" si="144"/>
        <v>#N/A</v>
      </c>
      <c r="T561" s="46" t="str">
        <f t="shared" si="140"/>
        <v/>
      </c>
      <c r="U561" s="48" t="str">
        <f t="shared" si="141"/>
        <v/>
      </c>
      <c r="W561" s="56">
        <f t="shared" si="132"/>
        <v>0</v>
      </c>
      <c r="X561" s="57" t="str">
        <f t="shared" si="133"/>
        <v/>
      </c>
      <c r="Y561" s="58">
        <f t="shared" si="134"/>
        <v>0</v>
      </c>
      <c r="AA561" s="62" t="str">
        <f t="shared" si="145"/>
        <v/>
      </c>
    </row>
    <row r="562" spans="3:27">
      <c r="C562" s="82"/>
      <c r="E562" s="30" t="str">
        <f t="shared" si="142"/>
        <v>00:00:00</v>
      </c>
      <c r="F562" s="36" t="str">
        <f t="shared" si="135"/>
        <v/>
      </c>
      <c r="G562" s="36">
        <f t="shared" si="136"/>
        <v>0</v>
      </c>
      <c r="H562" s="3" t="str">
        <f t="shared" si="137"/>
        <v/>
      </c>
      <c r="I562" s="3">
        <f t="shared" si="138"/>
        <v>0</v>
      </c>
      <c r="L562" s="35">
        <f t="shared" si="146"/>
        <v>1</v>
      </c>
      <c r="O562" s="27">
        <f t="shared" si="139"/>
        <v>0</v>
      </c>
      <c r="P562" s="3">
        <v>560</v>
      </c>
      <c r="Q562" s="3" t="e">
        <f t="shared" si="143"/>
        <v>#N/A</v>
      </c>
      <c r="R562" s="3" t="e">
        <f t="shared" si="144"/>
        <v>#N/A</v>
      </c>
      <c r="T562" s="46" t="str">
        <f t="shared" si="140"/>
        <v/>
      </c>
      <c r="U562" s="48" t="str">
        <f t="shared" si="141"/>
        <v/>
      </c>
      <c r="W562" s="56">
        <f t="shared" si="132"/>
        <v>0</v>
      </c>
      <c r="X562" s="57" t="str">
        <f t="shared" si="133"/>
        <v/>
      </c>
      <c r="Y562" s="58">
        <f t="shared" si="134"/>
        <v>0</v>
      </c>
      <c r="AA562" s="62" t="str">
        <f t="shared" si="145"/>
        <v/>
      </c>
    </row>
    <row r="563" spans="3:27">
      <c r="C563" s="82"/>
      <c r="E563" s="30" t="str">
        <f t="shared" si="142"/>
        <v>00:00:00</v>
      </c>
      <c r="F563" s="36" t="str">
        <f t="shared" si="135"/>
        <v/>
      </c>
      <c r="G563" s="36">
        <f t="shared" si="136"/>
        <v>0</v>
      </c>
      <c r="H563" s="3" t="str">
        <f t="shared" si="137"/>
        <v/>
      </c>
      <c r="I563" s="3">
        <f t="shared" si="138"/>
        <v>0</v>
      </c>
      <c r="L563" s="35">
        <f t="shared" si="146"/>
        <v>1</v>
      </c>
      <c r="O563" s="27">
        <f t="shared" si="139"/>
        <v>0</v>
      </c>
      <c r="P563" s="3">
        <v>561</v>
      </c>
      <c r="Q563" s="3" t="e">
        <f t="shared" si="143"/>
        <v>#N/A</v>
      </c>
      <c r="R563" s="3" t="e">
        <f t="shared" si="144"/>
        <v>#N/A</v>
      </c>
      <c r="T563" s="46" t="str">
        <f t="shared" si="140"/>
        <v/>
      </c>
      <c r="U563" s="48" t="str">
        <f t="shared" si="141"/>
        <v/>
      </c>
      <c r="W563" s="56">
        <f t="shared" si="132"/>
        <v>0</v>
      </c>
      <c r="X563" s="57" t="str">
        <f t="shared" si="133"/>
        <v/>
      </c>
      <c r="Y563" s="58">
        <f t="shared" si="134"/>
        <v>0</v>
      </c>
      <c r="AA563" s="62" t="str">
        <f t="shared" si="145"/>
        <v/>
      </c>
    </row>
    <row r="564" spans="3:27">
      <c r="C564" s="82"/>
      <c r="E564" s="30" t="str">
        <f t="shared" si="142"/>
        <v>00:00:00</v>
      </c>
      <c r="F564" s="36" t="str">
        <f t="shared" si="135"/>
        <v/>
      </c>
      <c r="G564" s="36">
        <f t="shared" si="136"/>
        <v>0</v>
      </c>
      <c r="H564" s="3" t="str">
        <f t="shared" si="137"/>
        <v/>
      </c>
      <c r="I564" s="3">
        <f t="shared" si="138"/>
        <v>0</v>
      </c>
      <c r="L564" s="35">
        <f t="shared" si="146"/>
        <v>1</v>
      </c>
      <c r="O564" s="27">
        <f t="shared" si="139"/>
        <v>0</v>
      </c>
      <c r="P564" s="3">
        <v>562</v>
      </c>
      <c r="Q564" s="3" t="e">
        <f t="shared" si="143"/>
        <v>#N/A</v>
      </c>
      <c r="R564" s="3" t="e">
        <f t="shared" si="144"/>
        <v>#N/A</v>
      </c>
      <c r="T564" s="46" t="str">
        <f t="shared" si="140"/>
        <v/>
      </c>
      <c r="U564" s="48" t="str">
        <f t="shared" si="141"/>
        <v/>
      </c>
      <c r="W564" s="56">
        <f t="shared" si="132"/>
        <v>0</v>
      </c>
      <c r="X564" s="57" t="str">
        <f t="shared" si="133"/>
        <v/>
      </c>
      <c r="Y564" s="58">
        <f t="shared" si="134"/>
        <v>0</v>
      </c>
      <c r="AA564" s="62" t="str">
        <f t="shared" si="145"/>
        <v/>
      </c>
    </row>
    <row r="565" spans="3:27">
      <c r="C565" s="82"/>
      <c r="E565" s="30" t="str">
        <f t="shared" si="142"/>
        <v>00:00:00</v>
      </c>
      <c r="F565" s="36" t="str">
        <f t="shared" si="135"/>
        <v/>
      </c>
      <c r="G565" s="36">
        <f t="shared" si="136"/>
        <v>0</v>
      </c>
      <c r="H565" s="3" t="str">
        <f t="shared" si="137"/>
        <v/>
      </c>
      <c r="I565" s="3">
        <f t="shared" si="138"/>
        <v>0</v>
      </c>
      <c r="L565" s="35">
        <f t="shared" si="146"/>
        <v>1</v>
      </c>
      <c r="O565" s="27">
        <f t="shared" si="139"/>
        <v>0</v>
      </c>
      <c r="P565" s="3">
        <v>563</v>
      </c>
      <c r="Q565" s="3" t="e">
        <f t="shared" si="143"/>
        <v>#N/A</v>
      </c>
      <c r="R565" s="3" t="e">
        <f t="shared" si="144"/>
        <v>#N/A</v>
      </c>
      <c r="T565" s="46" t="str">
        <f t="shared" si="140"/>
        <v/>
      </c>
      <c r="U565" s="48" t="str">
        <f t="shared" si="141"/>
        <v/>
      </c>
      <c r="W565" s="56">
        <f t="shared" si="132"/>
        <v>0</v>
      </c>
      <c r="X565" s="57" t="str">
        <f t="shared" si="133"/>
        <v/>
      </c>
      <c r="Y565" s="58">
        <f t="shared" si="134"/>
        <v>0</v>
      </c>
      <c r="AA565" s="62" t="str">
        <f t="shared" si="145"/>
        <v/>
      </c>
    </row>
    <row r="566" spans="3:27">
      <c r="C566" s="82"/>
      <c r="E566" s="30" t="str">
        <f t="shared" si="142"/>
        <v>00:00:00</v>
      </c>
      <c r="F566" s="36" t="str">
        <f t="shared" si="135"/>
        <v/>
      </c>
      <c r="G566" s="36">
        <f t="shared" si="136"/>
        <v>0</v>
      </c>
      <c r="H566" s="3" t="str">
        <f t="shared" si="137"/>
        <v/>
      </c>
      <c r="I566" s="3">
        <f t="shared" si="138"/>
        <v>0</v>
      </c>
      <c r="L566" s="35">
        <f t="shared" si="146"/>
        <v>1</v>
      </c>
      <c r="O566" s="27">
        <f t="shared" si="139"/>
        <v>0</v>
      </c>
      <c r="P566" s="3">
        <v>564</v>
      </c>
      <c r="Q566" s="3" t="e">
        <f t="shared" si="143"/>
        <v>#N/A</v>
      </c>
      <c r="R566" s="3" t="e">
        <f t="shared" si="144"/>
        <v>#N/A</v>
      </c>
      <c r="T566" s="46" t="str">
        <f t="shared" si="140"/>
        <v/>
      </c>
      <c r="U566" s="48" t="str">
        <f t="shared" si="141"/>
        <v/>
      </c>
      <c r="W566" s="56">
        <f t="shared" si="132"/>
        <v>0</v>
      </c>
      <c r="X566" s="57" t="str">
        <f t="shared" si="133"/>
        <v/>
      </c>
      <c r="Y566" s="58">
        <f t="shared" si="134"/>
        <v>0</v>
      </c>
      <c r="AA566" s="62" t="str">
        <f t="shared" si="145"/>
        <v/>
      </c>
    </row>
    <row r="567" spans="3:27">
      <c r="C567" s="82"/>
      <c r="E567" s="30" t="str">
        <f t="shared" si="142"/>
        <v>00:00:00</v>
      </c>
      <c r="F567" s="36" t="str">
        <f t="shared" si="135"/>
        <v/>
      </c>
      <c r="G567" s="36">
        <f t="shared" si="136"/>
        <v>0</v>
      </c>
      <c r="H567" s="3" t="str">
        <f t="shared" si="137"/>
        <v/>
      </c>
      <c r="I567" s="3">
        <f t="shared" si="138"/>
        <v>0</v>
      </c>
      <c r="L567" s="35">
        <f t="shared" si="146"/>
        <v>1</v>
      </c>
      <c r="O567" s="27">
        <f t="shared" si="139"/>
        <v>0</v>
      </c>
      <c r="P567" s="3">
        <v>565</v>
      </c>
      <c r="Q567" s="3" t="e">
        <f t="shared" si="143"/>
        <v>#N/A</v>
      </c>
      <c r="R567" s="3" t="e">
        <f t="shared" si="144"/>
        <v>#N/A</v>
      </c>
      <c r="T567" s="46" t="str">
        <f t="shared" si="140"/>
        <v/>
      </c>
      <c r="U567" s="48" t="str">
        <f t="shared" si="141"/>
        <v/>
      </c>
      <c r="W567" s="56">
        <f t="shared" si="132"/>
        <v>0</v>
      </c>
      <c r="X567" s="57" t="str">
        <f t="shared" si="133"/>
        <v/>
      </c>
      <c r="Y567" s="58">
        <f t="shared" si="134"/>
        <v>0</v>
      </c>
      <c r="AA567" s="62" t="str">
        <f t="shared" si="145"/>
        <v/>
      </c>
    </row>
    <row r="568" spans="3:27">
      <c r="C568" s="82"/>
      <c r="E568" s="30" t="str">
        <f t="shared" si="142"/>
        <v>00:00:00</v>
      </c>
      <c r="F568" s="36" t="str">
        <f t="shared" si="135"/>
        <v/>
      </c>
      <c r="G568" s="36">
        <f t="shared" si="136"/>
        <v>0</v>
      </c>
      <c r="H568" s="3" t="str">
        <f t="shared" si="137"/>
        <v/>
      </c>
      <c r="I568" s="3">
        <f t="shared" si="138"/>
        <v>0</v>
      </c>
      <c r="L568" s="35">
        <f t="shared" si="146"/>
        <v>1</v>
      </c>
      <c r="O568" s="27">
        <f t="shared" si="139"/>
        <v>0</v>
      </c>
      <c r="P568" s="3">
        <v>566</v>
      </c>
      <c r="Q568" s="3" t="e">
        <f t="shared" si="143"/>
        <v>#N/A</v>
      </c>
      <c r="R568" s="3" t="e">
        <f t="shared" si="144"/>
        <v>#N/A</v>
      </c>
      <c r="T568" s="46" t="str">
        <f t="shared" si="140"/>
        <v/>
      </c>
      <c r="U568" s="48" t="str">
        <f t="shared" si="141"/>
        <v/>
      </c>
      <c r="W568" s="56">
        <f t="shared" si="132"/>
        <v>0</v>
      </c>
      <c r="X568" s="57" t="str">
        <f t="shared" si="133"/>
        <v/>
      </c>
      <c r="Y568" s="58">
        <f t="shared" si="134"/>
        <v>0</v>
      </c>
      <c r="AA568" s="62" t="str">
        <f t="shared" si="145"/>
        <v/>
      </c>
    </row>
    <row r="569" spans="3:27">
      <c r="C569" s="82"/>
      <c r="E569" s="30" t="str">
        <f t="shared" si="142"/>
        <v>00:00:00</v>
      </c>
      <c r="F569" s="36" t="str">
        <f t="shared" si="135"/>
        <v/>
      </c>
      <c r="G569" s="36">
        <f t="shared" si="136"/>
        <v>0</v>
      </c>
      <c r="H569" s="3" t="str">
        <f t="shared" si="137"/>
        <v/>
      </c>
      <c r="I569" s="3">
        <f t="shared" si="138"/>
        <v>0</v>
      </c>
      <c r="L569" s="35">
        <f t="shared" si="146"/>
        <v>1</v>
      </c>
      <c r="O569" s="27">
        <f t="shared" si="139"/>
        <v>0</v>
      </c>
      <c r="P569" s="3">
        <v>567</v>
      </c>
      <c r="Q569" s="3" t="e">
        <f t="shared" si="143"/>
        <v>#N/A</v>
      </c>
      <c r="R569" s="3" t="e">
        <f t="shared" si="144"/>
        <v>#N/A</v>
      </c>
      <c r="T569" s="46" t="str">
        <f t="shared" si="140"/>
        <v/>
      </c>
      <c r="U569" s="48" t="str">
        <f t="shared" si="141"/>
        <v/>
      </c>
      <c r="W569" s="56">
        <f t="shared" si="132"/>
        <v>0</v>
      </c>
      <c r="X569" s="57" t="str">
        <f t="shared" si="133"/>
        <v/>
      </c>
      <c r="Y569" s="58">
        <f t="shared" si="134"/>
        <v>0</v>
      </c>
      <c r="AA569" s="62" t="str">
        <f t="shared" si="145"/>
        <v/>
      </c>
    </row>
    <row r="570" spans="3:27">
      <c r="C570" s="82"/>
      <c r="E570" s="30" t="str">
        <f t="shared" si="142"/>
        <v>00:00:00</v>
      </c>
      <c r="F570" s="36" t="str">
        <f t="shared" si="135"/>
        <v/>
      </c>
      <c r="G570" s="36">
        <f t="shared" si="136"/>
        <v>0</v>
      </c>
      <c r="H570" s="3" t="str">
        <f t="shared" si="137"/>
        <v/>
      </c>
      <c r="I570" s="3">
        <f t="shared" si="138"/>
        <v>0</v>
      </c>
      <c r="L570" s="35">
        <f t="shared" si="146"/>
        <v>1</v>
      </c>
      <c r="O570" s="27">
        <f t="shared" si="139"/>
        <v>0</v>
      </c>
      <c r="P570" s="3">
        <v>568</v>
      </c>
      <c r="Q570" s="3" t="e">
        <f t="shared" si="143"/>
        <v>#N/A</v>
      </c>
      <c r="R570" s="3" t="e">
        <f t="shared" si="144"/>
        <v>#N/A</v>
      </c>
      <c r="T570" s="46" t="str">
        <f t="shared" si="140"/>
        <v/>
      </c>
      <c r="U570" s="48" t="str">
        <f t="shared" si="141"/>
        <v/>
      </c>
      <c r="W570" s="56">
        <f t="shared" si="132"/>
        <v>0</v>
      </c>
      <c r="X570" s="57" t="str">
        <f t="shared" si="133"/>
        <v/>
      </c>
      <c r="Y570" s="58">
        <f t="shared" si="134"/>
        <v>0</v>
      </c>
      <c r="AA570" s="62" t="str">
        <f t="shared" si="145"/>
        <v/>
      </c>
    </row>
    <row r="571" spans="3:27">
      <c r="C571" s="82"/>
      <c r="E571" s="30" t="str">
        <f t="shared" si="142"/>
        <v>00:00:00</v>
      </c>
      <c r="F571" s="36" t="str">
        <f t="shared" si="135"/>
        <v/>
      </c>
      <c r="G571" s="36">
        <f t="shared" si="136"/>
        <v>0</v>
      </c>
      <c r="H571" s="3" t="str">
        <f t="shared" si="137"/>
        <v/>
      </c>
      <c r="I571" s="3">
        <f t="shared" si="138"/>
        <v>0</v>
      </c>
      <c r="L571" s="35">
        <f t="shared" si="146"/>
        <v>1</v>
      </c>
      <c r="O571" s="27">
        <f t="shared" si="139"/>
        <v>0</v>
      </c>
      <c r="P571" s="3">
        <v>569</v>
      </c>
      <c r="Q571" s="3" t="e">
        <f t="shared" si="143"/>
        <v>#N/A</v>
      </c>
      <c r="R571" s="3" t="e">
        <f t="shared" si="144"/>
        <v>#N/A</v>
      </c>
      <c r="T571" s="46" t="str">
        <f t="shared" si="140"/>
        <v/>
      </c>
      <c r="U571" s="48" t="str">
        <f t="shared" si="141"/>
        <v/>
      </c>
      <c r="W571" s="56">
        <f t="shared" si="132"/>
        <v>0</v>
      </c>
      <c r="X571" s="57" t="str">
        <f t="shared" si="133"/>
        <v/>
      </c>
      <c r="Y571" s="58">
        <f t="shared" si="134"/>
        <v>0</v>
      </c>
      <c r="AA571" s="62" t="str">
        <f t="shared" si="145"/>
        <v/>
      </c>
    </row>
    <row r="572" spans="3:27">
      <c r="C572" s="82"/>
      <c r="E572" s="30" t="str">
        <f t="shared" si="142"/>
        <v>00:00:00</v>
      </c>
      <c r="F572" s="36" t="str">
        <f t="shared" si="135"/>
        <v/>
      </c>
      <c r="G572" s="36">
        <f t="shared" si="136"/>
        <v>0</v>
      </c>
      <c r="H572" s="3" t="str">
        <f t="shared" si="137"/>
        <v/>
      </c>
      <c r="I572" s="3">
        <f t="shared" si="138"/>
        <v>0</v>
      </c>
      <c r="L572" s="35">
        <f t="shared" si="146"/>
        <v>1</v>
      </c>
      <c r="O572" s="27">
        <f t="shared" si="139"/>
        <v>0</v>
      </c>
      <c r="P572" s="3">
        <v>570</v>
      </c>
      <c r="Q572" s="3" t="e">
        <f t="shared" si="143"/>
        <v>#N/A</v>
      </c>
      <c r="R572" s="3" t="e">
        <f t="shared" si="144"/>
        <v>#N/A</v>
      </c>
      <c r="T572" s="46" t="str">
        <f t="shared" si="140"/>
        <v/>
      </c>
      <c r="U572" s="48" t="str">
        <f t="shared" si="141"/>
        <v/>
      </c>
      <c r="W572" s="56">
        <f t="shared" si="132"/>
        <v>0</v>
      </c>
      <c r="X572" s="57" t="str">
        <f t="shared" si="133"/>
        <v/>
      </c>
      <c r="Y572" s="58">
        <f t="shared" si="134"/>
        <v>0</v>
      </c>
      <c r="AA572" s="62" t="str">
        <f t="shared" si="145"/>
        <v/>
      </c>
    </row>
    <row r="573" spans="3:27">
      <c r="C573" s="82"/>
      <c r="E573" s="30" t="str">
        <f t="shared" si="142"/>
        <v>00:00:00</v>
      </c>
      <c r="F573" s="36" t="str">
        <f t="shared" si="135"/>
        <v/>
      </c>
      <c r="G573" s="36">
        <f t="shared" si="136"/>
        <v>0</v>
      </c>
      <c r="H573" s="3" t="str">
        <f t="shared" si="137"/>
        <v/>
      </c>
      <c r="I573" s="3">
        <f t="shared" si="138"/>
        <v>0</v>
      </c>
      <c r="L573" s="35">
        <f t="shared" si="146"/>
        <v>1</v>
      </c>
      <c r="O573" s="27">
        <f t="shared" si="139"/>
        <v>0</v>
      </c>
      <c r="P573" s="3">
        <v>571</v>
      </c>
      <c r="Q573" s="3" t="e">
        <f t="shared" si="143"/>
        <v>#N/A</v>
      </c>
      <c r="R573" s="3" t="e">
        <f t="shared" si="144"/>
        <v>#N/A</v>
      </c>
      <c r="T573" s="46" t="str">
        <f t="shared" si="140"/>
        <v/>
      </c>
      <c r="U573" s="48" t="str">
        <f t="shared" si="141"/>
        <v/>
      </c>
      <c r="W573" s="56">
        <f t="shared" si="132"/>
        <v>0</v>
      </c>
      <c r="X573" s="57" t="str">
        <f t="shared" si="133"/>
        <v/>
      </c>
      <c r="Y573" s="58">
        <f t="shared" si="134"/>
        <v>0</v>
      </c>
      <c r="AA573" s="62" t="str">
        <f t="shared" si="145"/>
        <v/>
      </c>
    </row>
    <row r="574" spans="3:27">
      <c r="C574" s="82"/>
      <c r="E574" s="30" t="str">
        <f t="shared" si="142"/>
        <v>00:00:00</v>
      </c>
      <c r="F574" s="36" t="str">
        <f t="shared" si="135"/>
        <v/>
      </c>
      <c r="G574" s="36">
        <f t="shared" si="136"/>
        <v>0</v>
      </c>
      <c r="H574" s="3" t="str">
        <f t="shared" si="137"/>
        <v/>
      </c>
      <c r="I574" s="3">
        <f t="shared" si="138"/>
        <v>0</v>
      </c>
      <c r="L574" s="35">
        <f t="shared" si="146"/>
        <v>1</v>
      </c>
      <c r="O574" s="27">
        <f t="shared" si="139"/>
        <v>0</v>
      </c>
      <c r="P574" s="3">
        <v>572</v>
      </c>
      <c r="Q574" s="3" t="e">
        <f t="shared" si="143"/>
        <v>#N/A</v>
      </c>
      <c r="R574" s="3" t="e">
        <f t="shared" si="144"/>
        <v>#N/A</v>
      </c>
      <c r="T574" s="46" t="str">
        <f t="shared" si="140"/>
        <v/>
      </c>
      <c r="U574" s="48" t="str">
        <f t="shared" si="141"/>
        <v/>
      </c>
      <c r="W574" s="56">
        <f t="shared" si="132"/>
        <v>0</v>
      </c>
      <c r="X574" s="57" t="str">
        <f t="shared" si="133"/>
        <v/>
      </c>
      <c r="Y574" s="58">
        <f t="shared" si="134"/>
        <v>0</v>
      </c>
      <c r="AA574" s="62" t="str">
        <f t="shared" si="145"/>
        <v/>
      </c>
    </row>
    <row r="575" spans="3:27">
      <c r="C575" s="82"/>
      <c r="E575" s="30" t="str">
        <f t="shared" si="142"/>
        <v>00:00:00</v>
      </c>
      <c r="F575" s="36" t="str">
        <f t="shared" si="135"/>
        <v/>
      </c>
      <c r="G575" s="36">
        <f t="shared" si="136"/>
        <v>0</v>
      </c>
      <c r="H575" s="3" t="str">
        <f t="shared" si="137"/>
        <v/>
      </c>
      <c r="I575" s="3">
        <f t="shared" si="138"/>
        <v>0</v>
      </c>
      <c r="L575" s="35">
        <f t="shared" si="146"/>
        <v>1</v>
      </c>
      <c r="O575" s="27">
        <f t="shared" si="139"/>
        <v>0</v>
      </c>
      <c r="P575" s="3">
        <v>573</v>
      </c>
      <c r="Q575" s="3" t="e">
        <f t="shared" si="143"/>
        <v>#N/A</v>
      </c>
      <c r="R575" s="3" t="e">
        <f t="shared" si="144"/>
        <v>#N/A</v>
      </c>
      <c r="T575" s="46" t="str">
        <f t="shared" si="140"/>
        <v/>
      </c>
      <c r="U575" s="48" t="str">
        <f t="shared" si="141"/>
        <v/>
      </c>
      <c r="W575" s="56">
        <f t="shared" si="132"/>
        <v>0</v>
      </c>
      <c r="X575" s="57" t="str">
        <f t="shared" si="133"/>
        <v/>
      </c>
      <c r="Y575" s="58">
        <f t="shared" si="134"/>
        <v>0</v>
      </c>
      <c r="AA575" s="62" t="str">
        <f t="shared" si="145"/>
        <v/>
      </c>
    </row>
    <row r="576" spans="3:27">
      <c r="C576" s="82"/>
      <c r="E576" s="30" t="str">
        <f t="shared" si="142"/>
        <v>00:00:00</v>
      </c>
      <c r="F576" s="36" t="str">
        <f t="shared" si="135"/>
        <v/>
      </c>
      <c r="G576" s="36">
        <f t="shared" si="136"/>
        <v>0</v>
      </c>
      <c r="H576" s="3" t="str">
        <f t="shared" si="137"/>
        <v/>
      </c>
      <c r="I576" s="3">
        <f t="shared" si="138"/>
        <v>0</v>
      </c>
      <c r="L576" s="35">
        <f t="shared" si="146"/>
        <v>1</v>
      </c>
      <c r="O576" s="27">
        <f t="shared" si="139"/>
        <v>0</v>
      </c>
      <c r="P576" s="3">
        <v>574</v>
      </c>
      <c r="Q576" s="3" t="e">
        <f t="shared" si="143"/>
        <v>#N/A</v>
      </c>
      <c r="R576" s="3" t="e">
        <f t="shared" si="144"/>
        <v>#N/A</v>
      </c>
      <c r="T576" s="46" t="str">
        <f t="shared" si="140"/>
        <v/>
      </c>
      <c r="U576" s="48" t="str">
        <f t="shared" si="141"/>
        <v/>
      </c>
      <c r="W576" s="56">
        <f t="shared" si="132"/>
        <v>0</v>
      </c>
      <c r="X576" s="57" t="str">
        <f t="shared" si="133"/>
        <v/>
      </c>
      <c r="Y576" s="58">
        <f t="shared" si="134"/>
        <v>0</v>
      </c>
      <c r="AA576" s="62" t="str">
        <f t="shared" si="145"/>
        <v/>
      </c>
    </row>
    <row r="577" spans="3:27">
      <c r="C577" s="82"/>
      <c r="E577" s="30" t="str">
        <f t="shared" si="142"/>
        <v>00:00:00</v>
      </c>
      <c r="F577" s="36" t="str">
        <f t="shared" si="135"/>
        <v/>
      </c>
      <c r="G577" s="36">
        <f t="shared" si="136"/>
        <v>0</v>
      </c>
      <c r="H577" s="3" t="str">
        <f t="shared" si="137"/>
        <v/>
      </c>
      <c r="I577" s="3">
        <f t="shared" si="138"/>
        <v>0</v>
      </c>
      <c r="L577" s="35">
        <f t="shared" si="146"/>
        <v>1</v>
      </c>
      <c r="O577" s="27">
        <f t="shared" si="139"/>
        <v>0</v>
      </c>
      <c r="P577" s="3">
        <v>575</v>
      </c>
      <c r="Q577" s="3" t="e">
        <f t="shared" si="143"/>
        <v>#N/A</v>
      </c>
      <c r="R577" s="3" t="e">
        <f t="shared" si="144"/>
        <v>#N/A</v>
      </c>
      <c r="T577" s="46" t="str">
        <f t="shared" si="140"/>
        <v/>
      </c>
      <c r="U577" s="48" t="str">
        <f t="shared" si="141"/>
        <v/>
      </c>
      <c r="W577" s="56">
        <f t="shared" si="132"/>
        <v>0</v>
      </c>
      <c r="X577" s="57" t="str">
        <f t="shared" si="133"/>
        <v/>
      </c>
      <c r="Y577" s="58">
        <f t="shared" si="134"/>
        <v>0</v>
      </c>
      <c r="AA577" s="62" t="str">
        <f t="shared" si="145"/>
        <v/>
      </c>
    </row>
    <row r="578" spans="3:27">
      <c r="C578" s="82"/>
      <c r="E578" s="30" t="str">
        <f t="shared" si="142"/>
        <v>00:00:00</v>
      </c>
      <c r="F578" s="36" t="str">
        <f t="shared" si="135"/>
        <v/>
      </c>
      <c r="G578" s="36">
        <f t="shared" si="136"/>
        <v>0</v>
      </c>
      <c r="H578" s="3" t="str">
        <f t="shared" si="137"/>
        <v/>
      </c>
      <c r="I578" s="3">
        <f t="shared" si="138"/>
        <v>0</v>
      </c>
      <c r="L578" s="35">
        <f t="shared" si="146"/>
        <v>1</v>
      </c>
      <c r="O578" s="27">
        <f t="shared" si="139"/>
        <v>0</v>
      </c>
      <c r="P578" s="3">
        <v>576</v>
      </c>
      <c r="Q578" s="3" t="e">
        <f t="shared" si="143"/>
        <v>#N/A</v>
      </c>
      <c r="R578" s="3" t="e">
        <f t="shared" si="144"/>
        <v>#N/A</v>
      </c>
      <c r="T578" s="46" t="str">
        <f t="shared" si="140"/>
        <v/>
      </c>
      <c r="U578" s="48" t="str">
        <f t="shared" si="141"/>
        <v/>
      </c>
      <c r="W578" s="56">
        <f t="shared" ref="W578:W641" si="147">IF(H578&lt;&gt;H579,1,0)</f>
        <v>0</v>
      </c>
      <c r="X578" s="57" t="str">
        <f t="shared" ref="X578:X641" si="148">IF(W578=1,H578,"")</f>
        <v/>
      </c>
      <c r="Y578" s="58">
        <f t="shared" ref="Y578:Y641" si="149">D578</f>
        <v>0</v>
      </c>
      <c r="AA578" s="62" t="str">
        <f t="shared" si="145"/>
        <v/>
      </c>
    </row>
    <row r="579" spans="3:27">
      <c r="C579" s="82"/>
      <c r="E579" s="30" t="str">
        <f t="shared" si="142"/>
        <v>00:00:00</v>
      </c>
      <c r="F579" s="36" t="str">
        <f t="shared" ref="F579:F642" si="150">IF(G579=0,"",IF(G579&lt;8,1,IF(G579&lt;15,2,IF(G579&lt;22,3,4))))</f>
        <v/>
      </c>
      <c r="G579" s="36">
        <f t="shared" ref="G579:G642" si="151">DAY(B579)</f>
        <v>0</v>
      </c>
      <c r="H579" s="3" t="str">
        <f t="shared" ref="H579:H642" si="152">IF(ISNUMBER(B579),VLOOKUP(MONTH(B579),$J$2:$K$13,2,FALSE),"")</f>
        <v/>
      </c>
      <c r="I579" s="3">
        <f t="shared" ref="I579:I642" si="153">IF(A579&lt;&gt;A580,1,0)</f>
        <v>0</v>
      </c>
      <c r="L579" s="35">
        <f t="shared" si="146"/>
        <v>1</v>
      </c>
      <c r="O579" s="27">
        <f t="shared" ref="O579:O642" si="154">D579</f>
        <v>0</v>
      </c>
      <c r="P579" s="3">
        <v>577</v>
      </c>
      <c r="Q579" s="3" t="e">
        <f t="shared" si="143"/>
        <v>#N/A</v>
      </c>
      <c r="R579" s="3" t="e">
        <f t="shared" si="144"/>
        <v>#N/A</v>
      </c>
      <c r="T579" s="46" t="str">
        <f t="shared" ref="T579:T642" si="155">IFERROR(R579,"")</f>
        <v/>
      </c>
      <c r="U579" s="48" t="str">
        <f t="shared" ref="U579:U642" si="156">IFERROR(Q579,"")</f>
        <v/>
      </c>
      <c r="W579" s="56">
        <f t="shared" si="147"/>
        <v>0</v>
      </c>
      <c r="X579" s="57" t="str">
        <f t="shared" si="148"/>
        <v/>
      </c>
      <c r="Y579" s="58">
        <f t="shared" si="149"/>
        <v>0</v>
      </c>
      <c r="AA579" s="62" t="str">
        <f t="shared" si="145"/>
        <v/>
      </c>
    </row>
    <row r="580" spans="3:27">
      <c r="C580" s="82"/>
      <c r="E580" s="30" t="str">
        <f t="shared" ref="E580:E643" si="157">IF(A580&lt;&gt;A579,TEXT(C580,"hh:mm:ss"),TEXT(C580+E579,"hh:mm:ss"))</f>
        <v>00:00:00</v>
      </c>
      <c r="F580" s="36" t="str">
        <f t="shared" si="150"/>
        <v/>
      </c>
      <c r="G580" s="36">
        <f t="shared" si="151"/>
        <v>0</v>
      </c>
      <c r="H580" s="3" t="str">
        <f t="shared" si="152"/>
        <v/>
      </c>
      <c r="I580" s="3">
        <f t="shared" si="153"/>
        <v>0</v>
      </c>
      <c r="L580" s="35">
        <f t="shared" si="146"/>
        <v>1</v>
      </c>
      <c r="O580" s="27">
        <f t="shared" si="154"/>
        <v>0</v>
      </c>
      <c r="P580" s="3">
        <v>578</v>
      </c>
      <c r="Q580" s="3" t="e">
        <f t="shared" ref="Q580:Q643" si="158">VLOOKUP(P580,M:O,3,FALSE)</f>
        <v>#N/A</v>
      </c>
      <c r="R580" s="3" t="e">
        <f t="shared" ref="R580:R643" si="159">VLOOKUP(P580,M:N,2,FALSE)</f>
        <v>#N/A</v>
      </c>
      <c r="T580" s="46" t="str">
        <f t="shared" si="155"/>
        <v/>
      </c>
      <c r="U580" s="48" t="str">
        <f t="shared" si="156"/>
        <v/>
      </c>
      <c r="W580" s="56">
        <f t="shared" si="147"/>
        <v>0</v>
      </c>
      <c r="X580" s="57" t="str">
        <f t="shared" si="148"/>
        <v/>
      </c>
      <c r="Y580" s="58">
        <f t="shared" si="149"/>
        <v>0</v>
      </c>
      <c r="AA580" s="62" t="str">
        <f t="shared" ref="AA580:AA643" si="160">IFERROR(VLOOKUP(Z580,X:Y,2,FALSE),"")</f>
        <v/>
      </c>
    </row>
    <row r="581" spans="3:27">
      <c r="C581" s="82"/>
      <c r="E581" s="30" t="str">
        <f t="shared" si="157"/>
        <v>00:00:00</v>
      </c>
      <c r="F581" s="36" t="str">
        <f t="shared" si="150"/>
        <v/>
      </c>
      <c r="G581" s="36">
        <f t="shared" si="151"/>
        <v>0</v>
      </c>
      <c r="H581" s="3" t="str">
        <f t="shared" si="152"/>
        <v/>
      </c>
      <c r="I581" s="3">
        <f t="shared" si="153"/>
        <v>0</v>
      </c>
      <c r="L581" s="35">
        <f t="shared" si="146"/>
        <v>1</v>
      </c>
      <c r="O581" s="27">
        <f t="shared" si="154"/>
        <v>0</v>
      </c>
      <c r="P581" s="3">
        <v>579</v>
      </c>
      <c r="Q581" s="3" t="e">
        <f t="shared" si="158"/>
        <v>#N/A</v>
      </c>
      <c r="R581" s="3" t="e">
        <f t="shared" si="159"/>
        <v>#N/A</v>
      </c>
      <c r="T581" s="46" t="str">
        <f t="shared" si="155"/>
        <v/>
      </c>
      <c r="U581" s="48" t="str">
        <f t="shared" si="156"/>
        <v/>
      </c>
      <c r="W581" s="56">
        <f t="shared" si="147"/>
        <v>0</v>
      </c>
      <c r="X581" s="57" t="str">
        <f t="shared" si="148"/>
        <v/>
      </c>
      <c r="Y581" s="58">
        <f t="shared" si="149"/>
        <v>0</v>
      </c>
      <c r="AA581" s="62" t="str">
        <f t="shared" si="160"/>
        <v/>
      </c>
    </row>
    <row r="582" spans="3:27">
      <c r="C582" s="82"/>
      <c r="E582" s="30" t="str">
        <f t="shared" si="157"/>
        <v>00:00:00</v>
      </c>
      <c r="F582" s="36" t="str">
        <f t="shared" si="150"/>
        <v/>
      </c>
      <c r="G582" s="36">
        <f t="shared" si="151"/>
        <v>0</v>
      </c>
      <c r="H582" s="3" t="str">
        <f t="shared" si="152"/>
        <v/>
      </c>
      <c r="I582" s="3">
        <f t="shared" si="153"/>
        <v>0</v>
      </c>
      <c r="L582" s="35">
        <f t="shared" si="146"/>
        <v>1</v>
      </c>
      <c r="O582" s="27">
        <f t="shared" si="154"/>
        <v>0</v>
      </c>
      <c r="P582" s="3">
        <v>580</v>
      </c>
      <c r="Q582" s="3" t="e">
        <f t="shared" si="158"/>
        <v>#N/A</v>
      </c>
      <c r="R582" s="3" t="e">
        <f t="shared" si="159"/>
        <v>#N/A</v>
      </c>
      <c r="T582" s="46" t="str">
        <f t="shared" si="155"/>
        <v/>
      </c>
      <c r="U582" s="48" t="str">
        <f t="shared" si="156"/>
        <v/>
      </c>
      <c r="W582" s="56">
        <f t="shared" si="147"/>
        <v>0</v>
      </c>
      <c r="X582" s="57" t="str">
        <f t="shared" si="148"/>
        <v/>
      </c>
      <c r="Y582" s="58">
        <f t="shared" si="149"/>
        <v>0</v>
      </c>
      <c r="AA582" s="62" t="str">
        <f t="shared" si="160"/>
        <v/>
      </c>
    </row>
    <row r="583" spans="3:27">
      <c r="C583" s="82"/>
      <c r="E583" s="30" t="str">
        <f t="shared" si="157"/>
        <v>00:00:00</v>
      </c>
      <c r="F583" s="36" t="str">
        <f t="shared" si="150"/>
        <v/>
      </c>
      <c r="G583" s="36">
        <f t="shared" si="151"/>
        <v>0</v>
      </c>
      <c r="H583" s="3" t="str">
        <f t="shared" si="152"/>
        <v/>
      </c>
      <c r="I583" s="3">
        <f t="shared" si="153"/>
        <v>0</v>
      </c>
      <c r="L583" s="35">
        <f t="shared" si="146"/>
        <v>1</v>
      </c>
      <c r="O583" s="27">
        <f t="shared" si="154"/>
        <v>0</v>
      </c>
      <c r="P583" s="3">
        <v>581</v>
      </c>
      <c r="Q583" s="3" t="e">
        <f t="shared" si="158"/>
        <v>#N/A</v>
      </c>
      <c r="R583" s="3" t="e">
        <f t="shared" si="159"/>
        <v>#N/A</v>
      </c>
      <c r="T583" s="46" t="str">
        <f t="shared" si="155"/>
        <v/>
      </c>
      <c r="U583" s="48" t="str">
        <f t="shared" si="156"/>
        <v/>
      </c>
      <c r="W583" s="56">
        <f t="shared" si="147"/>
        <v>0</v>
      </c>
      <c r="X583" s="57" t="str">
        <f t="shared" si="148"/>
        <v/>
      </c>
      <c r="Y583" s="58">
        <f t="shared" si="149"/>
        <v>0</v>
      </c>
      <c r="AA583" s="62" t="str">
        <f t="shared" si="160"/>
        <v/>
      </c>
    </row>
    <row r="584" spans="3:27">
      <c r="C584" s="82"/>
      <c r="E584" s="30" t="str">
        <f t="shared" si="157"/>
        <v>00:00:00</v>
      </c>
      <c r="F584" s="36" t="str">
        <f t="shared" si="150"/>
        <v/>
      </c>
      <c r="G584" s="36">
        <f t="shared" si="151"/>
        <v>0</v>
      </c>
      <c r="H584" s="3" t="str">
        <f t="shared" si="152"/>
        <v/>
      </c>
      <c r="I584" s="3">
        <f t="shared" si="153"/>
        <v>0</v>
      </c>
      <c r="L584" s="35">
        <f t="shared" si="146"/>
        <v>1</v>
      </c>
      <c r="O584" s="27">
        <f t="shared" si="154"/>
        <v>0</v>
      </c>
      <c r="P584" s="3">
        <v>582</v>
      </c>
      <c r="Q584" s="3" t="e">
        <f t="shared" si="158"/>
        <v>#N/A</v>
      </c>
      <c r="R584" s="3" t="e">
        <f t="shared" si="159"/>
        <v>#N/A</v>
      </c>
      <c r="T584" s="46" t="str">
        <f t="shared" si="155"/>
        <v/>
      </c>
      <c r="U584" s="48" t="str">
        <f t="shared" si="156"/>
        <v/>
      </c>
      <c r="W584" s="56">
        <f t="shared" si="147"/>
        <v>0</v>
      </c>
      <c r="X584" s="57" t="str">
        <f t="shared" si="148"/>
        <v/>
      </c>
      <c r="Y584" s="58">
        <f t="shared" si="149"/>
        <v>0</v>
      </c>
      <c r="AA584" s="62" t="str">
        <f t="shared" si="160"/>
        <v/>
      </c>
    </row>
    <row r="585" spans="3:27">
      <c r="C585" s="82"/>
      <c r="E585" s="30" t="str">
        <f t="shared" si="157"/>
        <v>00:00:00</v>
      </c>
      <c r="F585" s="36" t="str">
        <f t="shared" si="150"/>
        <v/>
      </c>
      <c r="G585" s="36">
        <f t="shared" si="151"/>
        <v>0</v>
      </c>
      <c r="H585" s="3" t="str">
        <f t="shared" si="152"/>
        <v/>
      </c>
      <c r="I585" s="3">
        <f t="shared" si="153"/>
        <v>0</v>
      </c>
      <c r="L585" s="35">
        <f t="shared" si="146"/>
        <v>1</v>
      </c>
      <c r="O585" s="27">
        <f t="shared" si="154"/>
        <v>0</v>
      </c>
      <c r="P585" s="3">
        <v>583</v>
      </c>
      <c r="Q585" s="3" t="e">
        <f t="shared" si="158"/>
        <v>#N/A</v>
      </c>
      <c r="R585" s="3" t="e">
        <f t="shared" si="159"/>
        <v>#N/A</v>
      </c>
      <c r="T585" s="46" t="str">
        <f t="shared" si="155"/>
        <v/>
      </c>
      <c r="U585" s="48" t="str">
        <f t="shared" si="156"/>
        <v/>
      </c>
      <c r="W585" s="56">
        <f t="shared" si="147"/>
        <v>0</v>
      </c>
      <c r="X585" s="57" t="str">
        <f t="shared" si="148"/>
        <v/>
      </c>
      <c r="Y585" s="58">
        <f t="shared" si="149"/>
        <v>0</v>
      </c>
      <c r="AA585" s="62" t="str">
        <f t="shared" si="160"/>
        <v/>
      </c>
    </row>
    <row r="586" spans="3:27">
      <c r="C586" s="82"/>
      <c r="E586" s="30" t="str">
        <f t="shared" si="157"/>
        <v>00:00:00</v>
      </c>
      <c r="F586" s="36" t="str">
        <f t="shared" si="150"/>
        <v/>
      </c>
      <c r="G586" s="36">
        <f t="shared" si="151"/>
        <v>0</v>
      </c>
      <c r="H586" s="3" t="str">
        <f t="shared" si="152"/>
        <v/>
      </c>
      <c r="I586" s="3">
        <f t="shared" si="153"/>
        <v>0</v>
      </c>
      <c r="L586" s="35">
        <f t="shared" si="146"/>
        <v>1</v>
      </c>
      <c r="O586" s="27">
        <f t="shared" si="154"/>
        <v>0</v>
      </c>
      <c r="P586" s="3">
        <v>584</v>
      </c>
      <c r="Q586" s="3" t="e">
        <f t="shared" si="158"/>
        <v>#N/A</v>
      </c>
      <c r="R586" s="3" t="e">
        <f t="shared" si="159"/>
        <v>#N/A</v>
      </c>
      <c r="T586" s="46" t="str">
        <f t="shared" si="155"/>
        <v/>
      </c>
      <c r="U586" s="48" t="str">
        <f t="shared" si="156"/>
        <v/>
      </c>
      <c r="W586" s="56">
        <f t="shared" si="147"/>
        <v>0</v>
      </c>
      <c r="X586" s="57" t="str">
        <f t="shared" si="148"/>
        <v/>
      </c>
      <c r="Y586" s="58">
        <f t="shared" si="149"/>
        <v>0</v>
      </c>
      <c r="AA586" s="62" t="str">
        <f t="shared" si="160"/>
        <v/>
      </c>
    </row>
    <row r="587" spans="3:27">
      <c r="C587" s="82"/>
      <c r="E587" s="30" t="str">
        <f t="shared" si="157"/>
        <v>00:00:00</v>
      </c>
      <c r="F587" s="36" t="str">
        <f t="shared" si="150"/>
        <v/>
      </c>
      <c r="G587" s="36">
        <f t="shared" si="151"/>
        <v>0</v>
      </c>
      <c r="H587" s="3" t="str">
        <f t="shared" si="152"/>
        <v/>
      </c>
      <c r="I587" s="3">
        <f t="shared" si="153"/>
        <v>0</v>
      </c>
      <c r="L587" s="35">
        <f t="shared" si="146"/>
        <v>1</v>
      </c>
      <c r="O587" s="27">
        <f t="shared" si="154"/>
        <v>0</v>
      </c>
      <c r="P587" s="3">
        <v>585</v>
      </c>
      <c r="Q587" s="3" t="e">
        <f t="shared" si="158"/>
        <v>#N/A</v>
      </c>
      <c r="R587" s="3" t="e">
        <f t="shared" si="159"/>
        <v>#N/A</v>
      </c>
      <c r="T587" s="46" t="str">
        <f t="shared" si="155"/>
        <v/>
      </c>
      <c r="U587" s="48" t="str">
        <f t="shared" si="156"/>
        <v/>
      </c>
      <c r="W587" s="56">
        <f t="shared" si="147"/>
        <v>0</v>
      </c>
      <c r="X587" s="57" t="str">
        <f t="shared" si="148"/>
        <v/>
      </c>
      <c r="Y587" s="58">
        <f t="shared" si="149"/>
        <v>0</v>
      </c>
      <c r="AA587" s="62" t="str">
        <f t="shared" si="160"/>
        <v/>
      </c>
    </row>
    <row r="588" spans="3:27">
      <c r="C588" s="82"/>
      <c r="E588" s="30" t="str">
        <f t="shared" si="157"/>
        <v>00:00:00</v>
      </c>
      <c r="F588" s="36" t="str">
        <f t="shared" si="150"/>
        <v/>
      </c>
      <c r="G588" s="36">
        <f t="shared" si="151"/>
        <v>0</v>
      </c>
      <c r="H588" s="3" t="str">
        <f t="shared" si="152"/>
        <v/>
      </c>
      <c r="I588" s="3">
        <f t="shared" si="153"/>
        <v>0</v>
      </c>
      <c r="L588" s="35">
        <f t="shared" ref="L588:L651" si="161">IF(I587=1,L587+I587,L587)</f>
        <v>1</v>
      </c>
      <c r="O588" s="27">
        <f t="shared" si="154"/>
        <v>0</v>
      </c>
      <c r="P588" s="3">
        <v>586</v>
      </c>
      <c r="Q588" s="3" t="e">
        <f t="shared" si="158"/>
        <v>#N/A</v>
      </c>
      <c r="R588" s="3" t="e">
        <f t="shared" si="159"/>
        <v>#N/A</v>
      </c>
      <c r="T588" s="46" t="str">
        <f t="shared" si="155"/>
        <v/>
      </c>
      <c r="U588" s="48" t="str">
        <f t="shared" si="156"/>
        <v/>
      </c>
      <c r="W588" s="56">
        <f t="shared" si="147"/>
        <v>0</v>
      </c>
      <c r="X588" s="57" t="str">
        <f t="shared" si="148"/>
        <v/>
      </c>
      <c r="Y588" s="58">
        <f t="shared" si="149"/>
        <v>0</v>
      </c>
      <c r="AA588" s="62" t="str">
        <f t="shared" si="160"/>
        <v/>
      </c>
    </row>
    <row r="589" spans="3:27">
      <c r="C589" s="82"/>
      <c r="E589" s="30" t="str">
        <f t="shared" si="157"/>
        <v>00:00:00</v>
      </c>
      <c r="F589" s="36" t="str">
        <f t="shared" si="150"/>
        <v/>
      </c>
      <c r="G589" s="36">
        <f t="shared" si="151"/>
        <v>0</v>
      </c>
      <c r="H589" s="3" t="str">
        <f t="shared" si="152"/>
        <v/>
      </c>
      <c r="I589" s="3">
        <f t="shared" si="153"/>
        <v>0</v>
      </c>
      <c r="L589" s="35">
        <f t="shared" si="161"/>
        <v>1</v>
      </c>
      <c r="O589" s="27">
        <f t="shared" si="154"/>
        <v>0</v>
      </c>
      <c r="P589" s="3">
        <v>587</v>
      </c>
      <c r="Q589" s="3" t="e">
        <f t="shared" si="158"/>
        <v>#N/A</v>
      </c>
      <c r="R589" s="3" t="e">
        <f t="shared" si="159"/>
        <v>#N/A</v>
      </c>
      <c r="T589" s="46" t="str">
        <f t="shared" si="155"/>
        <v/>
      </c>
      <c r="U589" s="48" t="str">
        <f t="shared" si="156"/>
        <v/>
      </c>
      <c r="W589" s="56">
        <f t="shared" si="147"/>
        <v>0</v>
      </c>
      <c r="X589" s="57" t="str">
        <f t="shared" si="148"/>
        <v/>
      </c>
      <c r="Y589" s="58">
        <f t="shared" si="149"/>
        <v>0</v>
      </c>
      <c r="AA589" s="62" t="str">
        <f t="shared" si="160"/>
        <v/>
      </c>
    </row>
    <row r="590" spans="3:27">
      <c r="C590" s="82"/>
      <c r="E590" s="30" t="str">
        <f t="shared" si="157"/>
        <v>00:00:00</v>
      </c>
      <c r="F590" s="36" t="str">
        <f t="shared" si="150"/>
        <v/>
      </c>
      <c r="G590" s="36">
        <f t="shared" si="151"/>
        <v>0</v>
      </c>
      <c r="H590" s="3" t="str">
        <f t="shared" si="152"/>
        <v/>
      </c>
      <c r="I590" s="3">
        <f t="shared" si="153"/>
        <v>0</v>
      </c>
      <c r="L590" s="35">
        <f t="shared" si="161"/>
        <v>1</v>
      </c>
      <c r="O590" s="27">
        <f t="shared" si="154"/>
        <v>0</v>
      </c>
      <c r="P590" s="3">
        <v>588</v>
      </c>
      <c r="Q590" s="3" t="e">
        <f t="shared" si="158"/>
        <v>#N/A</v>
      </c>
      <c r="R590" s="3" t="e">
        <f t="shared" si="159"/>
        <v>#N/A</v>
      </c>
      <c r="T590" s="46" t="str">
        <f t="shared" si="155"/>
        <v/>
      </c>
      <c r="U590" s="48" t="str">
        <f t="shared" si="156"/>
        <v/>
      </c>
      <c r="W590" s="56">
        <f t="shared" si="147"/>
        <v>0</v>
      </c>
      <c r="X590" s="57" t="str">
        <f t="shared" si="148"/>
        <v/>
      </c>
      <c r="Y590" s="58">
        <f t="shared" si="149"/>
        <v>0</v>
      </c>
      <c r="AA590" s="62" t="str">
        <f t="shared" si="160"/>
        <v/>
      </c>
    </row>
    <row r="591" spans="3:27">
      <c r="C591" s="82"/>
      <c r="E591" s="30" t="str">
        <f t="shared" si="157"/>
        <v>00:00:00</v>
      </c>
      <c r="F591" s="36" t="str">
        <f t="shared" si="150"/>
        <v/>
      </c>
      <c r="G591" s="36">
        <f t="shared" si="151"/>
        <v>0</v>
      </c>
      <c r="H591" s="3" t="str">
        <f t="shared" si="152"/>
        <v/>
      </c>
      <c r="I591" s="3">
        <f t="shared" si="153"/>
        <v>0</v>
      </c>
      <c r="L591" s="35">
        <f t="shared" si="161"/>
        <v>1</v>
      </c>
      <c r="O591" s="27">
        <f t="shared" si="154"/>
        <v>0</v>
      </c>
      <c r="P591" s="3">
        <v>589</v>
      </c>
      <c r="Q591" s="3" t="e">
        <f t="shared" si="158"/>
        <v>#N/A</v>
      </c>
      <c r="R591" s="3" t="e">
        <f t="shared" si="159"/>
        <v>#N/A</v>
      </c>
      <c r="T591" s="46" t="str">
        <f t="shared" si="155"/>
        <v/>
      </c>
      <c r="U591" s="48" t="str">
        <f t="shared" si="156"/>
        <v/>
      </c>
      <c r="W591" s="56">
        <f t="shared" si="147"/>
        <v>0</v>
      </c>
      <c r="X591" s="57" t="str">
        <f t="shared" si="148"/>
        <v/>
      </c>
      <c r="Y591" s="58">
        <f t="shared" si="149"/>
        <v>0</v>
      </c>
      <c r="AA591" s="62" t="str">
        <f t="shared" si="160"/>
        <v/>
      </c>
    </row>
    <row r="592" spans="3:27">
      <c r="C592" s="82"/>
      <c r="E592" s="30" t="str">
        <f t="shared" si="157"/>
        <v>00:00:00</v>
      </c>
      <c r="F592" s="36" t="str">
        <f t="shared" si="150"/>
        <v/>
      </c>
      <c r="G592" s="36">
        <f t="shared" si="151"/>
        <v>0</v>
      </c>
      <c r="H592" s="3" t="str">
        <f t="shared" si="152"/>
        <v/>
      </c>
      <c r="I592" s="3">
        <f t="shared" si="153"/>
        <v>0</v>
      </c>
      <c r="L592" s="35">
        <f t="shared" si="161"/>
        <v>1</v>
      </c>
      <c r="O592" s="27">
        <f t="shared" si="154"/>
        <v>0</v>
      </c>
      <c r="P592" s="3">
        <v>590</v>
      </c>
      <c r="Q592" s="3" t="e">
        <f t="shared" si="158"/>
        <v>#N/A</v>
      </c>
      <c r="R592" s="3" t="e">
        <f t="shared" si="159"/>
        <v>#N/A</v>
      </c>
      <c r="T592" s="46" t="str">
        <f t="shared" si="155"/>
        <v/>
      </c>
      <c r="U592" s="48" t="str">
        <f t="shared" si="156"/>
        <v/>
      </c>
      <c r="W592" s="56">
        <f t="shared" si="147"/>
        <v>0</v>
      </c>
      <c r="X592" s="57" t="str">
        <f t="shared" si="148"/>
        <v/>
      </c>
      <c r="Y592" s="58">
        <f t="shared" si="149"/>
        <v>0</v>
      </c>
      <c r="AA592" s="62" t="str">
        <f t="shared" si="160"/>
        <v/>
      </c>
    </row>
    <row r="593" spans="3:27">
      <c r="C593" s="82"/>
      <c r="E593" s="30" t="str">
        <f t="shared" si="157"/>
        <v>00:00:00</v>
      </c>
      <c r="F593" s="36" t="str">
        <f t="shared" si="150"/>
        <v/>
      </c>
      <c r="G593" s="36">
        <f t="shared" si="151"/>
        <v>0</v>
      </c>
      <c r="H593" s="3" t="str">
        <f t="shared" si="152"/>
        <v/>
      </c>
      <c r="I593" s="3">
        <f t="shared" si="153"/>
        <v>0</v>
      </c>
      <c r="L593" s="35">
        <f t="shared" si="161"/>
        <v>1</v>
      </c>
      <c r="O593" s="27">
        <f t="shared" si="154"/>
        <v>0</v>
      </c>
      <c r="P593" s="3">
        <v>591</v>
      </c>
      <c r="Q593" s="3" t="e">
        <f t="shared" si="158"/>
        <v>#N/A</v>
      </c>
      <c r="R593" s="3" t="e">
        <f t="shared" si="159"/>
        <v>#N/A</v>
      </c>
      <c r="T593" s="46" t="str">
        <f t="shared" si="155"/>
        <v/>
      </c>
      <c r="U593" s="48" t="str">
        <f t="shared" si="156"/>
        <v/>
      </c>
      <c r="W593" s="56">
        <f t="shared" si="147"/>
        <v>0</v>
      </c>
      <c r="X593" s="57" t="str">
        <f t="shared" si="148"/>
        <v/>
      </c>
      <c r="Y593" s="58">
        <f t="shared" si="149"/>
        <v>0</v>
      </c>
      <c r="AA593" s="62" t="str">
        <f t="shared" si="160"/>
        <v/>
      </c>
    </row>
    <row r="594" spans="3:27">
      <c r="C594" s="82"/>
      <c r="E594" s="30" t="str">
        <f t="shared" si="157"/>
        <v>00:00:00</v>
      </c>
      <c r="F594" s="36" t="str">
        <f t="shared" si="150"/>
        <v/>
      </c>
      <c r="G594" s="36">
        <f t="shared" si="151"/>
        <v>0</v>
      </c>
      <c r="H594" s="3" t="str">
        <f t="shared" si="152"/>
        <v/>
      </c>
      <c r="I594" s="3">
        <f t="shared" si="153"/>
        <v>0</v>
      </c>
      <c r="L594" s="35">
        <f t="shared" si="161"/>
        <v>1</v>
      </c>
      <c r="O594" s="27">
        <f t="shared" si="154"/>
        <v>0</v>
      </c>
      <c r="P594" s="3">
        <v>592</v>
      </c>
      <c r="Q594" s="3" t="e">
        <f t="shared" si="158"/>
        <v>#N/A</v>
      </c>
      <c r="R594" s="3" t="e">
        <f t="shared" si="159"/>
        <v>#N/A</v>
      </c>
      <c r="T594" s="46" t="str">
        <f t="shared" si="155"/>
        <v/>
      </c>
      <c r="U594" s="48" t="str">
        <f t="shared" si="156"/>
        <v/>
      </c>
      <c r="W594" s="56">
        <f t="shared" si="147"/>
        <v>0</v>
      </c>
      <c r="X594" s="57" t="str">
        <f t="shared" si="148"/>
        <v/>
      </c>
      <c r="Y594" s="58">
        <f t="shared" si="149"/>
        <v>0</v>
      </c>
      <c r="AA594" s="62" t="str">
        <f t="shared" si="160"/>
        <v/>
      </c>
    </row>
    <row r="595" spans="3:27">
      <c r="C595" s="82"/>
      <c r="E595" s="30" t="str">
        <f t="shared" si="157"/>
        <v>00:00:00</v>
      </c>
      <c r="F595" s="36" t="str">
        <f t="shared" si="150"/>
        <v/>
      </c>
      <c r="G595" s="36">
        <f t="shared" si="151"/>
        <v>0</v>
      </c>
      <c r="H595" s="3" t="str">
        <f t="shared" si="152"/>
        <v/>
      </c>
      <c r="I595" s="3">
        <f t="shared" si="153"/>
        <v>0</v>
      </c>
      <c r="L595" s="35">
        <f t="shared" si="161"/>
        <v>1</v>
      </c>
      <c r="O595" s="27">
        <f t="shared" si="154"/>
        <v>0</v>
      </c>
      <c r="P595" s="3">
        <v>593</v>
      </c>
      <c r="Q595" s="3" t="e">
        <f t="shared" si="158"/>
        <v>#N/A</v>
      </c>
      <c r="R595" s="3" t="e">
        <f t="shared" si="159"/>
        <v>#N/A</v>
      </c>
      <c r="T595" s="46" t="str">
        <f t="shared" si="155"/>
        <v/>
      </c>
      <c r="U595" s="48" t="str">
        <f t="shared" si="156"/>
        <v/>
      </c>
      <c r="W595" s="56">
        <f t="shared" si="147"/>
        <v>0</v>
      </c>
      <c r="X595" s="57" t="str">
        <f t="shared" si="148"/>
        <v/>
      </c>
      <c r="Y595" s="58">
        <f t="shared" si="149"/>
        <v>0</v>
      </c>
      <c r="AA595" s="62" t="str">
        <f t="shared" si="160"/>
        <v/>
      </c>
    </row>
    <row r="596" spans="3:27">
      <c r="C596" s="82"/>
      <c r="E596" s="30" t="str">
        <f t="shared" si="157"/>
        <v>00:00:00</v>
      </c>
      <c r="F596" s="36" t="str">
        <f t="shared" si="150"/>
        <v/>
      </c>
      <c r="G596" s="36">
        <f t="shared" si="151"/>
        <v>0</v>
      </c>
      <c r="H596" s="3" t="str">
        <f t="shared" si="152"/>
        <v/>
      </c>
      <c r="I596" s="3">
        <f t="shared" si="153"/>
        <v>0</v>
      </c>
      <c r="L596" s="35">
        <f t="shared" si="161"/>
        <v>1</v>
      </c>
      <c r="O596" s="27">
        <f t="shared" si="154"/>
        <v>0</v>
      </c>
      <c r="P596" s="3">
        <v>594</v>
      </c>
      <c r="Q596" s="3" t="e">
        <f t="shared" si="158"/>
        <v>#N/A</v>
      </c>
      <c r="R596" s="3" t="e">
        <f t="shared" si="159"/>
        <v>#N/A</v>
      </c>
      <c r="T596" s="46" t="str">
        <f t="shared" si="155"/>
        <v/>
      </c>
      <c r="U596" s="48" t="str">
        <f t="shared" si="156"/>
        <v/>
      </c>
      <c r="W596" s="56">
        <f t="shared" si="147"/>
        <v>0</v>
      </c>
      <c r="X596" s="57" t="str">
        <f t="shared" si="148"/>
        <v/>
      </c>
      <c r="Y596" s="58">
        <f t="shared" si="149"/>
        <v>0</v>
      </c>
      <c r="AA596" s="62" t="str">
        <f t="shared" si="160"/>
        <v/>
      </c>
    </row>
    <row r="597" spans="3:27">
      <c r="C597" s="82"/>
      <c r="E597" s="30" t="str">
        <f t="shared" si="157"/>
        <v>00:00:00</v>
      </c>
      <c r="F597" s="36" t="str">
        <f t="shared" si="150"/>
        <v/>
      </c>
      <c r="G597" s="36">
        <f t="shared" si="151"/>
        <v>0</v>
      </c>
      <c r="H597" s="3" t="str">
        <f t="shared" si="152"/>
        <v/>
      </c>
      <c r="I597" s="3">
        <f t="shared" si="153"/>
        <v>0</v>
      </c>
      <c r="L597" s="35">
        <f t="shared" si="161"/>
        <v>1</v>
      </c>
      <c r="O597" s="27">
        <f t="shared" si="154"/>
        <v>0</v>
      </c>
      <c r="P597" s="3">
        <v>595</v>
      </c>
      <c r="Q597" s="3" t="e">
        <f t="shared" si="158"/>
        <v>#N/A</v>
      </c>
      <c r="R597" s="3" t="e">
        <f t="shared" si="159"/>
        <v>#N/A</v>
      </c>
      <c r="T597" s="46" t="str">
        <f t="shared" si="155"/>
        <v/>
      </c>
      <c r="U597" s="48" t="str">
        <f t="shared" si="156"/>
        <v/>
      </c>
      <c r="W597" s="56">
        <f t="shared" si="147"/>
        <v>0</v>
      </c>
      <c r="X597" s="57" t="str">
        <f t="shared" si="148"/>
        <v/>
      </c>
      <c r="Y597" s="58">
        <f t="shared" si="149"/>
        <v>0</v>
      </c>
      <c r="AA597" s="62" t="str">
        <f t="shared" si="160"/>
        <v/>
      </c>
    </row>
    <row r="598" spans="3:27">
      <c r="C598" s="82"/>
      <c r="E598" s="30" t="str">
        <f t="shared" si="157"/>
        <v>00:00:00</v>
      </c>
      <c r="F598" s="36" t="str">
        <f t="shared" si="150"/>
        <v/>
      </c>
      <c r="G598" s="36">
        <f t="shared" si="151"/>
        <v>0</v>
      </c>
      <c r="H598" s="3" t="str">
        <f t="shared" si="152"/>
        <v/>
      </c>
      <c r="I598" s="3">
        <f t="shared" si="153"/>
        <v>0</v>
      </c>
      <c r="L598" s="35">
        <f t="shared" si="161"/>
        <v>1</v>
      </c>
      <c r="O598" s="27">
        <f t="shared" si="154"/>
        <v>0</v>
      </c>
      <c r="P598" s="3">
        <v>596</v>
      </c>
      <c r="Q598" s="3" t="e">
        <f t="shared" si="158"/>
        <v>#N/A</v>
      </c>
      <c r="R598" s="3" t="e">
        <f t="shared" si="159"/>
        <v>#N/A</v>
      </c>
      <c r="T598" s="46" t="str">
        <f t="shared" si="155"/>
        <v/>
      </c>
      <c r="U598" s="48" t="str">
        <f t="shared" si="156"/>
        <v/>
      </c>
      <c r="W598" s="56">
        <f t="shared" si="147"/>
        <v>0</v>
      </c>
      <c r="X598" s="57" t="str">
        <f t="shared" si="148"/>
        <v/>
      </c>
      <c r="Y598" s="58">
        <f t="shared" si="149"/>
        <v>0</v>
      </c>
      <c r="AA598" s="62" t="str">
        <f t="shared" si="160"/>
        <v/>
      </c>
    </row>
    <row r="599" spans="3:27">
      <c r="C599" s="82"/>
      <c r="E599" s="30" t="str">
        <f t="shared" si="157"/>
        <v>00:00:00</v>
      </c>
      <c r="F599" s="36" t="str">
        <f t="shared" si="150"/>
        <v/>
      </c>
      <c r="G599" s="36">
        <f t="shared" si="151"/>
        <v>0</v>
      </c>
      <c r="H599" s="3" t="str">
        <f t="shared" si="152"/>
        <v/>
      </c>
      <c r="I599" s="3">
        <f t="shared" si="153"/>
        <v>0</v>
      </c>
      <c r="L599" s="35">
        <f t="shared" si="161"/>
        <v>1</v>
      </c>
      <c r="O599" s="27">
        <f t="shared" si="154"/>
        <v>0</v>
      </c>
      <c r="P599" s="3">
        <v>597</v>
      </c>
      <c r="Q599" s="3" t="e">
        <f t="shared" si="158"/>
        <v>#N/A</v>
      </c>
      <c r="R599" s="3" t="e">
        <f t="shared" si="159"/>
        <v>#N/A</v>
      </c>
      <c r="T599" s="46" t="str">
        <f t="shared" si="155"/>
        <v/>
      </c>
      <c r="U599" s="48" t="str">
        <f t="shared" si="156"/>
        <v/>
      </c>
      <c r="W599" s="56">
        <f t="shared" si="147"/>
        <v>0</v>
      </c>
      <c r="X599" s="57" t="str">
        <f t="shared" si="148"/>
        <v/>
      </c>
      <c r="Y599" s="58">
        <f t="shared" si="149"/>
        <v>0</v>
      </c>
      <c r="AA599" s="62" t="str">
        <f t="shared" si="160"/>
        <v/>
      </c>
    </row>
    <row r="600" spans="3:27">
      <c r="C600" s="82"/>
      <c r="E600" s="30" t="str">
        <f t="shared" si="157"/>
        <v>00:00:00</v>
      </c>
      <c r="F600" s="36" t="str">
        <f t="shared" si="150"/>
        <v/>
      </c>
      <c r="G600" s="36">
        <f t="shared" si="151"/>
        <v>0</v>
      </c>
      <c r="H600" s="3" t="str">
        <f t="shared" si="152"/>
        <v/>
      </c>
      <c r="I600" s="3">
        <f t="shared" si="153"/>
        <v>0</v>
      </c>
      <c r="L600" s="35">
        <f t="shared" si="161"/>
        <v>1</v>
      </c>
      <c r="O600" s="27">
        <f t="shared" si="154"/>
        <v>0</v>
      </c>
      <c r="P600" s="3">
        <v>598</v>
      </c>
      <c r="Q600" s="3" t="e">
        <f t="shared" si="158"/>
        <v>#N/A</v>
      </c>
      <c r="R600" s="3" t="e">
        <f t="shared" si="159"/>
        <v>#N/A</v>
      </c>
      <c r="T600" s="46" t="str">
        <f t="shared" si="155"/>
        <v/>
      </c>
      <c r="U600" s="48" t="str">
        <f t="shared" si="156"/>
        <v/>
      </c>
      <c r="W600" s="56">
        <f t="shared" si="147"/>
        <v>0</v>
      </c>
      <c r="X600" s="57" t="str">
        <f t="shared" si="148"/>
        <v/>
      </c>
      <c r="Y600" s="58">
        <f t="shared" si="149"/>
        <v>0</v>
      </c>
      <c r="AA600" s="62" t="str">
        <f t="shared" si="160"/>
        <v/>
      </c>
    </row>
    <row r="601" spans="3:27">
      <c r="C601" s="82"/>
      <c r="E601" s="30" t="str">
        <f t="shared" si="157"/>
        <v>00:00:00</v>
      </c>
      <c r="F601" s="36" t="str">
        <f t="shared" si="150"/>
        <v/>
      </c>
      <c r="G601" s="36">
        <f t="shared" si="151"/>
        <v>0</v>
      </c>
      <c r="H601" s="3" t="str">
        <f t="shared" si="152"/>
        <v/>
      </c>
      <c r="I601" s="3">
        <f t="shared" si="153"/>
        <v>0</v>
      </c>
      <c r="L601" s="35">
        <f t="shared" si="161"/>
        <v>1</v>
      </c>
      <c r="O601" s="27">
        <f t="shared" si="154"/>
        <v>0</v>
      </c>
      <c r="P601" s="3">
        <v>599</v>
      </c>
      <c r="Q601" s="3" t="e">
        <f t="shared" si="158"/>
        <v>#N/A</v>
      </c>
      <c r="R601" s="3" t="e">
        <f t="shared" si="159"/>
        <v>#N/A</v>
      </c>
      <c r="T601" s="46" t="str">
        <f t="shared" si="155"/>
        <v/>
      </c>
      <c r="U601" s="48" t="str">
        <f t="shared" si="156"/>
        <v/>
      </c>
      <c r="W601" s="56">
        <f t="shared" si="147"/>
        <v>0</v>
      </c>
      <c r="X601" s="57" t="str">
        <f t="shared" si="148"/>
        <v/>
      </c>
      <c r="Y601" s="58">
        <f t="shared" si="149"/>
        <v>0</v>
      </c>
      <c r="AA601" s="62" t="str">
        <f t="shared" si="160"/>
        <v/>
      </c>
    </row>
    <row r="602" spans="3:27">
      <c r="C602" s="82"/>
      <c r="E602" s="30" t="str">
        <f t="shared" si="157"/>
        <v>00:00:00</v>
      </c>
      <c r="F602" s="36" t="str">
        <f t="shared" si="150"/>
        <v/>
      </c>
      <c r="G602" s="36">
        <f t="shared" si="151"/>
        <v>0</v>
      </c>
      <c r="H602" s="3" t="str">
        <f t="shared" si="152"/>
        <v/>
      </c>
      <c r="I602" s="3">
        <f t="shared" si="153"/>
        <v>0</v>
      </c>
      <c r="L602" s="35">
        <f t="shared" si="161"/>
        <v>1</v>
      </c>
      <c r="O602" s="27">
        <f t="shared" si="154"/>
        <v>0</v>
      </c>
      <c r="P602" s="3">
        <v>600</v>
      </c>
      <c r="Q602" s="3" t="e">
        <f t="shared" si="158"/>
        <v>#N/A</v>
      </c>
      <c r="R602" s="3" t="e">
        <f t="shared" si="159"/>
        <v>#N/A</v>
      </c>
      <c r="T602" s="46" t="str">
        <f t="shared" si="155"/>
        <v/>
      </c>
      <c r="U602" s="48" t="str">
        <f t="shared" si="156"/>
        <v/>
      </c>
      <c r="W602" s="56">
        <f t="shared" si="147"/>
        <v>0</v>
      </c>
      <c r="X602" s="57" t="str">
        <f t="shared" si="148"/>
        <v/>
      </c>
      <c r="Y602" s="58">
        <f t="shared" si="149"/>
        <v>0</v>
      </c>
      <c r="AA602" s="62" t="str">
        <f t="shared" si="160"/>
        <v/>
      </c>
    </row>
    <row r="603" spans="3:27">
      <c r="C603" s="82"/>
      <c r="E603" s="30" t="str">
        <f t="shared" si="157"/>
        <v>00:00:00</v>
      </c>
      <c r="F603" s="36" t="str">
        <f t="shared" si="150"/>
        <v/>
      </c>
      <c r="G603" s="36">
        <f t="shared" si="151"/>
        <v>0</v>
      </c>
      <c r="H603" s="3" t="str">
        <f t="shared" si="152"/>
        <v/>
      </c>
      <c r="I603" s="3">
        <f t="shared" si="153"/>
        <v>0</v>
      </c>
      <c r="L603" s="35">
        <f t="shared" si="161"/>
        <v>1</v>
      </c>
      <c r="O603" s="27">
        <f t="shared" si="154"/>
        <v>0</v>
      </c>
      <c r="P603" s="3">
        <v>601</v>
      </c>
      <c r="Q603" s="3" t="e">
        <f t="shared" si="158"/>
        <v>#N/A</v>
      </c>
      <c r="R603" s="3" t="e">
        <f t="shared" si="159"/>
        <v>#N/A</v>
      </c>
      <c r="T603" s="46" t="str">
        <f t="shared" si="155"/>
        <v/>
      </c>
      <c r="U603" s="48" t="str">
        <f t="shared" si="156"/>
        <v/>
      </c>
      <c r="W603" s="56">
        <f t="shared" si="147"/>
        <v>0</v>
      </c>
      <c r="X603" s="57" t="str">
        <f t="shared" si="148"/>
        <v/>
      </c>
      <c r="Y603" s="58">
        <f t="shared" si="149"/>
        <v>0</v>
      </c>
      <c r="AA603" s="62" t="str">
        <f t="shared" si="160"/>
        <v/>
      </c>
    </row>
    <row r="604" spans="3:27">
      <c r="C604" s="82"/>
      <c r="E604" s="30" t="str">
        <f t="shared" si="157"/>
        <v>00:00:00</v>
      </c>
      <c r="F604" s="36" t="str">
        <f t="shared" si="150"/>
        <v/>
      </c>
      <c r="G604" s="36">
        <f t="shared" si="151"/>
        <v>0</v>
      </c>
      <c r="H604" s="3" t="str">
        <f t="shared" si="152"/>
        <v/>
      </c>
      <c r="I604" s="3">
        <f t="shared" si="153"/>
        <v>0</v>
      </c>
      <c r="L604" s="35">
        <f t="shared" si="161"/>
        <v>1</v>
      </c>
      <c r="O604" s="27">
        <f t="shared" si="154"/>
        <v>0</v>
      </c>
      <c r="P604" s="3">
        <v>602</v>
      </c>
      <c r="Q604" s="3" t="e">
        <f t="shared" si="158"/>
        <v>#N/A</v>
      </c>
      <c r="R604" s="3" t="e">
        <f t="shared" si="159"/>
        <v>#N/A</v>
      </c>
      <c r="T604" s="46" t="str">
        <f t="shared" si="155"/>
        <v/>
      </c>
      <c r="U604" s="48" t="str">
        <f t="shared" si="156"/>
        <v/>
      </c>
      <c r="W604" s="56">
        <f t="shared" si="147"/>
        <v>0</v>
      </c>
      <c r="X604" s="57" t="str">
        <f t="shared" si="148"/>
        <v/>
      </c>
      <c r="Y604" s="58">
        <f t="shared" si="149"/>
        <v>0</v>
      </c>
      <c r="AA604" s="62" t="str">
        <f t="shared" si="160"/>
        <v/>
      </c>
    </row>
    <row r="605" spans="3:27">
      <c r="C605" s="82"/>
      <c r="E605" s="30" t="str">
        <f t="shared" si="157"/>
        <v>00:00:00</v>
      </c>
      <c r="F605" s="36" t="str">
        <f t="shared" si="150"/>
        <v/>
      </c>
      <c r="G605" s="36">
        <f t="shared" si="151"/>
        <v>0</v>
      </c>
      <c r="H605" s="3" t="str">
        <f t="shared" si="152"/>
        <v/>
      </c>
      <c r="I605" s="3">
        <f t="shared" si="153"/>
        <v>0</v>
      </c>
      <c r="L605" s="35">
        <f t="shared" si="161"/>
        <v>1</v>
      </c>
      <c r="O605" s="27">
        <f t="shared" si="154"/>
        <v>0</v>
      </c>
      <c r="P605" s="3">
        <v>603</v>
      </c>
      <c r="Q605" s="3" t="e">
        <f t="shared" si="158"/>
        <v>#N/A</v>
      </c>
      <c r="R605" s="3" t="e">
        <f t="shared" si="159"/>
        <v>#N/A</v>
      </c>
      <c r="T605" s="46" t="str">
        <f t="shared" si="155"/>
        <v/>
      </c>
      <c r="U605" s="48" t="str">
        <f t="shared" si="156"/>
        <v/>
      </c>
      <c r="W605" s="56">
        <f t="shared" si="147"/>
        <v>0</v>
      </c>
      <c r="X605" s="57" t="str">
        <f t="shared" si="148"/>
        <v/>
      </c>
      <c r="Y605" s="58">
        <f t="shared" si="149"/>
        <v>0</v>
      </c>
      <c r="AA605" s="62" t="str">
        <f t="shared" si="160"/>
        <v/>
      </c>
    </row>
    <row r="606" spans="3:27">
      <c r="C606" s="82"/>
      <c r="E606" s="30" t="str">
        <f t="shared" si="157"/>
        <v>00:00:00</v>
      </c>
      <c r="F606" s="36" t="str">
        <f t="shared" si="150"/>
        <v/>
      </c>
      <c r="G606" s="36">
        <f t="shared" si="151"/>
        <v>0</v>
      </c>
      <c r="H606" s="3" t="str">
        <f t="shared" si="152"/>
        <v/>
      </c>
      <c r="I606" s="3">
        <f t="shared" si="153"/>
        <v>0</v>
      </c>
      <c r="L606" s="35">
        <f t="shared" si="161"/>
        <v>1</v>
      </c>
      <c r="O606" s="27">
        <f t="shared" si="154"/>
        <v>0</v>
      </c>
      <c r="P606" s="3">
        <v>604</v>
      </c>
      <c r="Q606" s="3" t="e">
        <f t="shared" si="158"/>
        <v>#N/A</v>
      </c>
      <c r="R606" s="3" t="e">
        <f t="shared" si="159"/>
        <v>#N/A</v>
      </c>
      <c r="T606" s="46" t="str">
        <f t="shared" si="155"/>
        <v/>
      </c>
      <c r="U606" s="48" t="str">
        <f t="shared" si="156"/>
        <v/>
      </c>
      <c r="W606" s="56">
        <f t="shared" si="147"/>
        <v>0</v>
      </c>
      <c r="X606" s="57" t="str">
        <f t="shared" si="148"/>
        <v/>
      </c>
      <c r="Y606" s="58">
        <f t="shared" si="149"/>
        <v>0</v>
      </c>
      <c r="AA606" s="62" t="str">
        <f t="shared" si="160"/>
        <v/>
      </c>
    </row>
    <row r="607" spans="3:27">
      <c r="C607" s="82"/>
      <c r="E607" s="30" t="str">
        <f t="shared" si="157"/>
        <v>00:00:00</v>
      </c>
      <c r="F607" s="36" t="str">
        <f t="shared" si="150"/>
        <v/>
      </c>
      <c r="G607" s="36">
        <f t="shared" si="151"/>
        <v>0</v>
      </c>
      <c r="H607" s="3" t="str">
        <f t="shared" si="152"/>
        <v/>
      </c>
      <c r="I607" s="3">
        <f t="shared" si="153"/>
        <v>0</v>
      </c>
      <c r="L607" s="35">
        <f t="shared" si="161"/>
        <v>1</v>
      </c>
      <c r="O607" s="27">
        <f t="shared" si="154"/>
        <v>0</v>
      </c>
      <c r="P607" s="3">
        <v>605</v>
      </c>
      <c r="Q607" s="3" t="e">
        <f t="shared" si="158"/>
        <v>#N/A</v>
      </c>
      <c r="R607" s="3" t="e">
        <f t="shared" si="159"/>
        <v>#N/A</v>
      </c>
      <c r="T607" s="46" t="str">
        <f t="shared" si="155"/>
        <v/>
      </c>
      <c r="U607" s="48" t="str">
        <f t="shared" si="156"/>
        <v/>
      </c>
      <c r="W607" s="56">
        <f t="shared" si="147"/>
        <v>0</v>
      </c>
      <c r="X607" s="57" t="str">
        <f t="shared" si="148"/>
        <v/>
      </c>
      <c r="Y607" s="58">
        <f t="shared" si="149"/>
        <v>0</v>
      </c>
      <c r="AA607" s="62" t="str">
        <f t="shared" si="160"/>
        <v/>
      </c>
    </row>
    <row r="608" spans="3:27">
      <c r="C608" s="82"/>
      <c r="E608" s="30" t="str">
        <f t="shared" si="157"/>
        <v>00:00:00</v>
      </c>
      <c r="F608" s="36" t="str">
        <f t="shared" si="150"/>
        <v/>
      </c>
      <c r="G608" s="36">
        <f t="shared" si="151"/>
        <v>0</v>
      </c>
      <c r="H608" s="3" t="str">
        <f t="shared" si="152"/>
        <v/>
      </c>
      <c r="I608" s="3">
        <f t="shared" si="153"/>
        <v>0</v>
      </c>
      <c r="L608" s="35">
        <f t="shared" si="161"/>
        <v>1</v>
      </c>
      <c r="O608" s="27">
        <f t="shared" si="154"/>
        <v>0</v>
      </c>
      <c r="P608" s="3">
        <v>606</v>
      </c>
      <c r="Q608" s="3" t="e">
        <f t="shared" si="158"/>
        <v>#N/A</v>
      </c>
      <c r="R608" s="3" t="e">
        <f t="shared" si="159"/>
        <v>#N/A</v>
      </c>
      <c r="T608" s="46" t="str">
        <f t="shared" si="155"/>
        <v/>
      </c>
      <c r="U608" s="48" t="str">
        <f t="shared" si="156"/>
        <v/>
      </c>
      <c r="W608" s="56">
        <f t="shared" si="147"/>
        <v>0</v>
      </c>
      <c r="X608" s="57" t="str">
        <f t="shared" si="148"/>
        <v/>
      </c>
      <c r="Y608" s="58">
        <f t="shared" si="149"/>
        <v>0</v>
      </c>
      <c r="AA608" s="62" t="str">
        <f t="shared" si="160"/>
        <v/>
      </c>
    </row>
    <row r="609" spans="3:27">
      <c r="C609" s="82"/>
      <c r="E609" s="30" t="str">
        <f t="shared" si="157"/>
        <v>00:00:00</v>
      </c>
      <c r="F609" s="36" t="str">
        <f t="shared" si="150"/>
        <v/>
      </c>
      <c r="G609" s="36">
        <f t="shared" si="151"/>
        <v>0</v>
      </c>
      <c r="H609" s="3" t="str">
        <f t="shared" si="152"/>
        <v/>
      </c>
      <c r="I609" s="3">
        <f t="shared" si="153"/>
        <v>0</v>
      </c>
      <c r="L609" s="35">
        <f t="shared" si="161"/>
        <v>1</v>
      </c>
      <c r="O609" s="27">
        <f t="shared" si="154"/>
        <v>0</v>
      </c>
      <c r="P609" s="3">
        <v>607</v>
      </c>
      <c r="Q609" s="3" t="e">
        <f t="shared" si="158"/>
        <v>#N/A</v>
      </c>
      <c r="R609" s="3" t="e">
        <f t="shared" si="159"/>
        <v>#N/A</v>
      </c>
      <c r="T609" s="46" t="str">
        <f t="shared" si="155"/>
        <v/>
      </c>
      <c r="U609" s="48" t="str">
        <f t="shared" si="156"/>
        <v/>
      </c>
      <c r="W609" s="56">
        <f t="shared" si="147"/>
        <v>0</v>
      </c>
      <c r="X609" s="57" t="str">
        <f t="shared" si="148"/>
        <v/>
      </c>
      <c r="Y609" s="58">
        <f t="shared" si="149"/>
        <v>0</v>
      </c>
      <c r="AA609" s="62" t="str">
        <f t="shared" si="160"/>
        <v/>
      </c>
    </row>
    <row r="610" spans="3:27">
      <c r="C610" s="82"/>
      <c r="E610" s="30" t="str">
        <f t="shared" si="157"/>
        <v>00:00:00</v>
      </c>
      <c r="F610" s="36" t="str">
        <f t="shared" si="150"/>
        <v/>
      </c>
      <c r="G610" s="36">
        <f t="shared" si="151"/>
        <v>0</v>
      </c>
      <c r="H610" s="3" t="str">
        <f t="shared" si="152"/>
        <v/>
      </c>
      <c r="I610" s="3">
        <f t="shared" si="153"/>
        <v>0</v>
      </c>
      <c r="L610" s="35">
        <f t="shared" si="161"/>
        <v>1</v>
      </c>
      <c r="O610" s="27">
        <f t="shared" si="154"/>
        <v>0</v>
      </c>
      <c r="P610" s="3">
        <v>608</v>
      </c>
      <c r="Q610" s="3" t="e">
        <f t="shared" si="158"/>
        <v>#N/A</v>
      </c>
      <c r="R610" s="3" t="e">
        <f t="shared" si="159"/>
        <v>#N/A</v>
      </c>
      <c r="T610" s="46" t="str">
        <f t="shared" si="155"/>
        <v/>
      </c>
      <c r="U610" s="48" t="str">
        <f t="shared" si="156"/>
        <v/>
      </c>
      <c r="W610" s="56">
        <f t="shared" si="147"/>
        <v>0</v>
      </c>
      <c r="X610" s="57" t="str">
        <f t="shared" si="148"/>
        <v/>
      </c>
      <c r="Y610" s="58">
        <f t="shared" si="149"/>
        <v>0</v>
      </c>
      <c r="AA610" s="62" t="str">
        <f t="shared" si="160"/>
        <v/>
      </c>
    </row>
    <row r="611" spans="3:27">
      <c r="C611" s="82"/>
      <c r="E611" s="30" t="str">
        <f t="shared" si="157"/>
        <v>00:00:00</v>
      </c>
      <c r="F611" s="36" t="str">
        <f t="shared" si="150"/>
        <v/>
      </c>
      <c r="G611" s="36">
        <f t="shared" si="151"/>
        <v>0</v>
      </c>
      <c r="H611" s="3" t="str">
        <f t="shared" si="152"/>
        <v/>
      </c>
      <c r="I611" s="3">
        <f t="shared" si="153"/>
        <v>0</v>
      </c>
      <c r="L611" s="35">
        <f t="shared" si="161"/>
        <v>1</v>
      </c>
      <c r="O611" s="27">
        <f t="shared" si="154"/>
        <v>0</v>
      </c>
      <c r="P611" s="3">
        <v>609</v>
      </c>
      <c r="Q611" s="3" t="e">
        <f t="shared" si="158"/>
        <v>#N/A</v>
      </c>
      <c r="R611" s="3" t="e">
        <f t="shared" si="159"/>
        <v>#N/A</v>
      </c>
      <c r="T611" s="46" t="str">
        <f t="shared" si="155"/>
        <v/>
      </c>
      <c r="U611" s="48" t="str">
        <f t="shared" si="156"/>
        <v/>
      </c>
      <c r="W611" s="56">
        <f t="shared" si="147"/>
        <v>0</v>
      </c>
      <c r="X611" s="57" t="str">
        <f t="shared" si="148"/>
        <v/>
      </c>
      <c r="Y611" s="58">
        <f t="shared" si="149"/>
        <v>0</v>
      </c>
      <c r="AA611" s="62" t="str">
        <f t="shared" si="160"/>
        <v/>
      </c>
    </row>
    <row r="612" spans="3:27">
      <c r="C612" s="82"/>
      <c r="E612" s="30" t="str">
        <f t="shared" si="157"/>
        <v>00:00:00</v>
      </c>
      <c r="F612" s="36" t="str">
        <f t="shared" si="150"/>
        <v/>
      </c>
      <c r="G612" s="36">
        <f t="shared" si="151"/>
        <v>0</v>
      </c>
      <c r="H612" s="3" t="str">
        <f t="shared" si="152"/>
        <v/>
      </c>
      <c r="I612" s="3">
        <f t="shared" si="153"/>
        <v>0</v>
      </c>
      <c r="L612" s="35">
        <f t="shared" si="161"/>
        <v>1</v>
      </c>
      <c r="O612" s="27">
        <f t="shared" si="154"/>
        <v>0</v>
      </c>
      <c r="P612" s="3">
        <v>610</v>
      </c>
      <c r="Q612" s="3" t="e">
        <f t="shared" si="158"/>
        <v>#N/A</v>
      </c>
      <c r="R612" s="3" t="e">
        <f t="shared" si="159"/>
        <v>#N/A</v>
      </c>
      <c r="T612" s="46" t="str">
        <f t="shared" si="155"/>
        <v/>
      </c>
      <c r="U612" s="48" t="str">
        <f t="shared" si="156"/>
        <v/>
      </c>
      <c r="W612" s="56">
        <f t="shared" si="147"/>
        <v>0</v>
      </c>
      <c r="X612" s="57" t="str">
        <f t="shared" si="148"/>
        <v/>
      </c>
      <c r="Y612" s="58">
        <f t="shared" si="149"/>
        <v>0</v>
      </c>
      <c r="AA612" s="62" t="str">
        <f t="shared" si="160"/>
        <v/>
      </c>
    </row>
    <row r="613" spans="3:27">
      <c r="C613" s="82"/>
      <c r="E613" s="30" t="str">
        <f t="shared" si="157"/>
        <v>00:00:00</v>
      </c>
      <c r="F613" s="36" t="str">
        <f t="shared" si="150"/>
        <v/>
      </c>
      <c r="G613" s="36">
        <f t="shared" si="151"/>
        <v>0</v>
      </c>
      <c r="H613" s="3" t="str">
        <f t="shared" si="152"/>
        <v/>
      </c>
      <c r="I613" s="3">
        <f t="shared" si="153"/>
        <v>0</v>
      </c>
      <c r="L613" s="35">
        <f t="shared" si="161"/>
        <v>1</v>
      </c>
      <c r="O613" s="27">
        <f t="shared" si="154"/>
        <v>0</v>
      </c>
      <c r="P613" s="3">
        <v>611</v>
      </c>
      <c r="Q613" s="3" t="e">
        <f t="shared" si="158"/>
        <v>#N/A</v>
      </c>
      <c r="R613" s="3" t="e">
        <f t="shared" si="159"/>
        <v>#N/A</v>
      </c>
      <c r="T613" s="46" t="str">
        <f t="shared" si="155"/>
        <v/>
      </c>
      <c r="U613" s="48" t="str">
        <f t="shared" si="156"/>
        <v/>
      </c>
      <c r="W613" s="56">
        <f t="shared" si="147"/>
        <v>0</v>
      </c>
      <c r="X613" s="57" t="str">
        <f t="shared" si="148"/>
        <v/>
      </c>
      <c r="Y613" s="58">
        <f t="shared" si="149"/>
        <v>0</v>
      </c>
      <c r="AA613" s="62" t="str">
        <f t="shared" si="160"/>
        <v/>
      </c>
    </row>
    <row r="614" spans="3:27">
      <c r="C614" s="82"/>
      <c r="E614" s="30" t="str">
        <f t="shared" si="157"/>
        <v>00:00:00</v>
      </c>
      <c r="F614" s="36" t="str">
        <f t="shared" si="150"/>
        <v/>
      </c>
      <c r="G614" s="36">
        <f t="shared" si="151"/>
        <v>0</v>
      </c>
      <c r="H614" s="3" t="str">
        <f t="shared" si="152"/>
        <v/>
      </c>
      <c r="I614" s="3">
        <f t="shared" si="153"/>
        <v>0</v>
      </c>
      <c r="L614" s="35">
        <f t="shared" si="161"/>
        <v>1</v>
      </c>
      <c r="O614" s="27">
        <f t="shared" si="154"/>
        <v>0</v>
      </c>
      <c r="P614" s="3">
        <v>612</v>
      </c>
      <c r="Q614" s="3" t="e">
        <f t="shared" si="158"/>
        <v>#N/A</v>
      </c>
      <c r="R614" s="3" t="e">
        <f t="shared" si="159"/>
        <v>#N/A</v>
      </c>
      <c r="T614" s="46" t="str">
        <f t="shared" si="155"/>
        <v/>
      </c>
      <c r="U614" s="48" t="str">
        <f t="shared" si="156"/>
        <v/>
      </c>
      <c r="W614" s="56">
        <f t="shared" si="147"/>
        <v>0</v>
      </c>
      <c r="X614" s="57" t="str">
        <f t="shared" si="148"/>
        <v/>
      </c>
      <c r="Y614" s="58">
        <f t="shared" si="149"/>
        <v>0</v>
      </c>
      <c r="AA614" s="62" t="str">
        <f t="shared" si="160"/>
        <v/>
      </c>
    </row>
    <row r="615" spans="3:27">
      <c r="C615" s="82"/>
      <c r="E615" s="30" t="str">
        <f t="shared" si="157"/>
        <v>00:00:00</v>
      </c>
      <c r="F615" s="36" t="str">
        <f t="shared" si="150"/>
        <v/>
      </c>
      <c r="G615" s="36">
        <f t="shared" si="151"/>
        <v>0</v>
      </c>
      <c r="H615" s="3" t="str">
        <f t="shared" si="152"/>
        <v/>
      </c>
      <c r="I615" s="3">
        <f t="shared" si="153"/>
        <v>0</v>
      </c>
      <c r="L615" s="35">
        <f t="shared" si="161"/>
        <v>1</v>
      </c>
      <c r="O615" s="27">
        <f t="shared" si="154"/>
        <v>0</v>
      </c>
      <c r="P615" s="3">
        <v>613</v>
      </c>
      <c r="Q615" s="3" t="e">
        <f t="shared" si="158"/>
        <v>#N/A</v>
      </c>
      <c r="R615" s="3" t="e">
        <f t="shared" si="159"/>
        <v>#N/A</v>
      </c>
      <c r="T615" s="46" t="str">
        <f t="shared" si="155"/>
        <v/>
      </c>
      <c r="U615" s="48" t="str">
        <f t="shared" si="156"/>
        <v/>
      </c>
      <c r="W615" s="56">
        <f t="shared" si="147"/>
        <v>0</v>
      </c>
      <c r="X615" s="57" t="str">
        <f t="shared" si="148"/>
        <v/>
      </c>
      <c r="Y615" s="58">
        <f t="shared" si="149"/>
        <v>0</v>
      </c>
      <c r="AA615" s="62" t="str">
        <f t="shared" si="160"/>
        <v/>
      </c>
    </row>
    <row r="616" spans="3:27">
      <c r="C616" s="82"/>
      <c r="E616" s="30" t="str">
        <f t="shared" si="157"/>
        <v>00:00:00</v>
      </c>
      <c r="F616" s="36" t="str">
        <f t="shared" si="150"/>
        <v/>
      </c>
      <c r="G616" s="36">
        <f t="shared" si="151"/>
        <v>0</v>
      </c>
      <c r="H616" s="3" t="str">
        <f t="shared" si="152"/>
        <v/>
      </c>
      <c r="I616" s="3">
        <f t="shared" si="153"/>
        <v>0</v>
      </c>
      <c r="L616" s="35">
        <f t="shared" si="161"/>
        <v>1</v>
      </c>
      <c r="O616" s="27">
        <f t="shared" si="154"/>
        <v>0</v>
      </c>
      <c r="P616" s="3">
        <v>614</v>
      </c>
      <c r="Q616" s="3" t="e">
        <f t="shared" si="158"/>
        <v>#N/A</v>
      </c>
      <c r="R616" s="3" t="e">
        <f t="shared" si="159"/>
        <v>#N/A</v>
      </c>
      <c r="T616" s="46" t="str">
        <f t="shared" si="155"/>
        <v/>
      </c>
      <c r="U616" s="48" t="str">
        <f t="shared" si="156"/>
        <v/>
      </c>
      <c r="W616" s="56">
        <f t="shared" si="147"/>
        <v>0</v>
      </c>
      <c r="X616" s="57" t="str">
        <f t="shared" si="148"/>
        <v/>
      </c>
      <c r="Y616" s="58">
        <f t="shared" si="149"/>
        <v>0</v>
      </c>
      <c r="AA616" s="62" t="str">
        <f t="shared" si="160"/>
        <v/>
      </c>
    </row>
    <row r="617" spans="3:27">
      <c r="C617" s="82"/>
      <c r="E617" s="30" t="str">
        <f t="shared" si="157"/>
        <v>00:00:00</v>
      </c>
      <c r="F617" s="36" t="str">
        <f t="shared" si="150"/>
        <v/>
      </c>
      <c r="G617" s="36">
        <f t="shared" si="151"/>
        <v>0</v>
      </c>
      <c r="H617" s="3" t="str">
        <f t="shared" si="152"/>
        <v/>
      </c>
      <c r="I617" s="3">
        <f t="shared" si="153"/>
        <v>0</v>
      </c>
      <c r="L617" s="35">
        <f t="shared" si="161"/>
        <v>1</v>
      </c>
      <c r="O617" s="27">
        <f t="shared" si="154"/>
        <v>0</v>
      </c>
      <c r="P617" s="3">
        <v>615</v>
      </c>
      <c r="Q617" s="3" t="e">
        <f t="shared" si="158"/>
        <v>#N/A</v>
      </c>
      <c r="R617" s="3" t="e">
        <f t="shared" si="159"/>
        <v>#N/A</v>
      </c>
      <c r="T617" s="46" t="str">
        <f t="shared" si="155"/>
        <v/>
      </c>
      <c r="U617" s="48" t="str">
        <f t="shared" si="156"/>
        <v/>
      </c>
      <c r="W617" s="56">
        <f t="shared" si="147"/>
        <v>0</v>
      </c>
      <c r="X617" s="57" t="str">
        <f t="shared" si="148"/>
        <v/>
      </c>
      <c r="Y617" s="58">
        <f t="shared" si="149"/>
        <v>0</v>
      </c>
      <c r="AA617" s="62" t="str">
        <f t="shared" si="160"/>
        <v/>
      </c>
    </row>
    <row r="618" spans="3:27">
      <c r="C618" s="82"/>
      <c r="E618" s="30" t="str">
        <f t="shared" si="157"/>
        <v>00:00:00</v>
      </c>
      <c r="F618" s="36" t="str">
        <f t="shared" si="150"/>
        <v/>
      </c>
      <c r="G618" s="36">
        <f t="shared" si="151"/>
        <v>0</v>
      </c>
      <c r="H618" s="3" t="str">
        <f t="shared" si="152"/>
        <v/>
      </c>
      <c r="I618" s="3">
        <f t="shared" si="153"/>
        <v>0</v>
      </c>
      <c r="L618" s="35">
        <f t="shared" si="161"/>
        <v>1</v>
      </c>
      <c r="O618" s="27">
        <f t="shared" si="154"/>
        <v>0</v>
      </c>
      <c r="P618" s="3">
        <v>616</v>
      </c>
      <c r="Q618" s="3" t="e">
        <f t="shared" si="158"/>
        <v>#N/A</v>
      </c>
      <c r="R618" s="3" t="e">
        <f t="shared" si="159"/>
        <v>#N/A</v>
      </c>
      <c r="T618" s="46" t="str">
        <f t="shared" si="155"/>
        <v/>
      </c>
      <c r="U618" s="48" t="str">
        <f t="shared" si="156"/>
        <v/>
      </c>
      <c r="W618" s="56">
        <f t="shared" si="147"/>
        <v>0</v>
      </c>
      <c r="X618" s="57" t="str">
        <f t="shared" si="148"/>
        <v/>
      </c>
      <c r="Y618" s="58">
        <f t="shared" si="149"/>
        <v>0</v>
      </c>
      <c r="AA618" s="62" t="str">
        <f t="shared" si="160"/>
        <v/>
      </c>
    </row>
    <row r="619" spans="3:27">
      <c r="C619" s="82"/>
      <c r="E619" s="30" t="str">
        <f t="shared" si="157"/>
        <v>00:00:00</v>
      </c>
      <c r="F619" s="36" t="str">
        <f t="shared" si="150"/>
        <v/>
      </c>
      <c r="G619" s="36">
        <f t="shared" si="151"/>
        <v>0</v>
      </c>
      <c r="H619" s="3" t="str">
        <f t="shared" si="152"/>
        <v/>
      </c>
      <c r="I619" s="3">
        <f t="shared" si="153"/>
        <v>0</v>
      </c>
      <c r="L619" s="35">
        <f t="shared" si="161"/>
        <v>1</v>
      </c>
      <c r="O619" s="27">
        <f t="shared" si="154"/>
        <v>0</v>
      </c>
      <c r="P619" s="3">
        <v>617</v>
      </c>
      <c r="Q619" s="3" t="e">
        <f t="shared" si="158"/>
        <v>#N/A</v>
      </c>
      <c r="R619" s="3" t="e">
        <f t="shared" si="159"/>
        <v>#N/A</v>
      </c>
      <c r="T619" s="46" t="str">
        <f t="shared" si="155"/>
        <v/>
      </c>
      <c r="U619" s="48" t="str">
        <f t="shared" si="156"/>
        <v/>
      </c>
      <c r="W619" s="56">
        <f t="shared" si="147"/>
        <v>0</v>
      </c>
      <c r="X619" s="57" t="str">
        <f t="shared" si="148"/>
        <v/>
      </c>
      <c r="Y619" s="58">
        <f t="shared" si="149"/>
        <v>0</v>
      </c>
      <c r="AA619" s="62" t="str">
        <f t="shared" si="160"/>
        <v/>
      </c>
    </row>
    <row r="620" spans="3:27">
      <c r="C620" s="82"/>
      <c r="E620" s="30" t="str">
        <f t="shared" si="157"/>
        <v>00:00:00</v>
      </c>
      <c r="F620" s="36" t="str">
        <f t="shared" si="150"/>
        <v/>
      </c>
      <c r="G620" s="36">
        <f t="shared" si="151"/>
        <v>0</v>
      </c>
      <c r="H620" s="3" t="str">
        <f t="shared" si="152"/>
        <v/>
      </c>
      <c r="I620" s="3">
        <f t="shared" si="153"/>
        <v>0</v>
      </c>
      <c r="L620" s="35">
        <f t="shared" si="161"/>
        <v>1</v>
      </c>
      <c r="O620" s="27">
        <f t="shared" si="154"/>
        <v>0</v>
      </c>
      <c r="P620" s="3">
        <v>618</v>
      </c>
      <c r="Q620" s="3" t="e">
        <f t="shared" si="158"/>
        <v>#N/A</v>
      </c>
      <c r="R620" s="3" t="e">
        <f t="shared" si="159"/>
        <v>#N/A</v>
      </c>
      <c r="T620" s="46" t="str">
        <f t="shared" si="155"/>
        <v/>
      </c>
      <c r="U620" s="48" t="str">
        <f t="shared" si="156"/>
        <v/>
      </c>
      <c r="W620" s="56">
        <f t="shared" si="147"/>
        <v>0</v>
      </c>
      <c r="X620" s="57" t="str">
        <f t="shared" si="148"/>
        <v/>
      </c>
      <c r="Y620" s="58">
        <f t="shared" si="149"/>
        <v>0</v>
      </c>
      <c r="AA620" s="62" t="str">
        <f t="shared" si="160"/>
        <v/>
      </c>
    </row>
    <row r="621" spans="3:27">
      <c r="C621" s="82"/>
      <c r="E621" s="30" t="str">
        <f t="shared" si="157"/>
        <v>00:00:00</v>
      </c>
      <c r="F621" s="36" t="str">
        <f t="shared" si="150"/>
        <v/>
      </c>
      <c r="G621" s="36">
        <f t="shared" si="151"/>
        <v>0</v>
      </c>
      <c r="H621" s="3" t="str">
        <f t="shared" si="152"/>
        <v/>
      </c>
      <c r="I621" s="3">
        <f t="shared" si="153"/>
        <v>0</v>
      </c>
      <c r="L621" s="35">
        <f t="shared" si="161"/>
        <v>1</v>
      </c>
      <c r="O621" s="27">
        <f t="shared" si="154"/>
        <v>0</v>
      </c>
      <c r="P621" s="3">
        <v>619</v>
      </c>
      <c r="Q621" s="3" t="e">
        <f t="shared" si="158"/>
        <v>#N/A</v>
      </c>
      <c r="R621" s="3" t="e">
        <f t="shared" si="159"/>
        <v>#N/A</v>
      </c>
      <c r="T621" s="46" t="str">
        <f t="shared" si="155"/>
        <v/>
      </c>
      <c r="U621" s="48" t="str">
        <f t="shared" si="156"/>
        <v/>
      </c>
      <c r="W621" s="56">
        <f t="shared" si="147"/>
        <v>0</v>
      </c>
      <c r="X621" s="57" t="str">
        <f t="shared" si="148"/>
        <v/>
      </c>
      <c r="Y621" s="58">
        <f t="shared" si="149"/>
        <v>0</v>
      </c>
      <c r="AA621" s="62" t="str">
        <f t="shared" si="160"/>
        <v/>
      </c>
    </row>
    <row r="622" spans="3:27">
      <c r="C622" s="82"/>
      <c r="E622" s="30" t="str">
        <f t="shared" si="157"/>
        <v>00:00:00</v>
      </c>
      <c r="F622" s="36" t="str">
        <f t="shared" si="150"/>
        <v/>
      </c>
      <c r="G622" s="36">
        <f t="shared" si="151"/>
        <v>0</v>
      </c>
      <c r="H622" s="3" t="str">
        <f t="shared" si="152"/>
        <v/>
      </c>
      <c r="I622" s="3">
        <f t="shared" si="153"/>
        <v>0</v>
      </c>
      <c r="L622" s="35">
        <f t="shared" si="161"/>
        <v>1</v>
      </c>
      <c r="O622" s="27">
        <f t="shared" si="154"/>
        <v>0</v>
      </c>
      <c r="P622" s="3">
        <v>620</v>
      </c>
      <c r="Q622" s="3" t="e">
        <f t="shared" si="158"/>
        <v>#N/A</v>
      </c>
      <c r="R622" s="3" t="e">
        <f t="shared" si="159"/>
        <v>#N/A</v>
      </c>
      <c r="T622" s="46" t="str">
        <f t="shared" si="155"/>
        <v/>
      </c>
      <c r="U622" s="48" t="str">
        <f t="shared" si="156"/>
        <v/>
      </c>
      <c r="W622" s="56">
        <f t="shared" si="147"/>
        <v>0</v>
      </c>
      <c r="X622" s="57" t="str">
        <f t="shared" si="148"/>
        <v/>
      </c>
      <c r="Y622" s="58">
        <f t="shared" si="149"/>
        <v>0</v>
      </c>
      <c r="AA622" s="62" t="str">
        <f t="shared" si="160"/>
        <v/>
      </c>
    </row>
    <row r="623" spans="3:27">
      <c r="C623" s="82"/>
      <c r="E623" s="30" t="str">
        <f t="shared" si="157"/>
        <v>00:00:00</v>
      </c>
      <c r="F623" s="36" t="str">
        <f t="shared" si="150"/>
        <v/>
      </c>
      <c r="G623" s="36">
        <f t="shared" si="151"/>
        <v>0</v>
      </c>
      <c r="H623" s="3" t="str">
        <f t="shared" si="152"/>
        <v/>
      </c>
      <c r="I623" s="3">
        <f t="shared" si="153"/>
        <v>0</v>
      </c>
      <c r="L623" s="35">
        <f t="shared" si="161"/>
        <v>1</v>
      </c>
      <c r="O623" s="27">
        <f t="shared" si="154"/>
        <v>0</v>
      </c>
      <c r="P623" s="3">
        <v>621</v>
      </c>
      <c r="Q623" s="3" t="e">
        <f t="shared" si="158"/>
        <v>#N/A</v>
      </c>
      <c r="R623" s="3" t="e">
        <f t="shared" si="159"/>
        <v>#N/A</v>
      </c>
      <c r="T623" s="46" t="str">
        <f t="shared" si="155"/>
        <v/>
      </c>
      <c r="U623" s="48" t="str">
        <f t="shared" si="156"/>
        <v/>
      </c>
      <c r="W623" s="56">
        <f t="shared" si="147"/>
        <v>0</v>
      </c>
      <c r="X623" s="57" t="str">
        <f t="shared" si="148"/>
        <v/>
      </c>
      <c r="Y623" s="58">
        <f t="shared" si="149"/>
        <v>0</v>
      </c>
      <c r="AA623" s="62" t="str">
        <f t="shared" si="160"/>
        <v/>
      </c>
    </row>
    <row r="624" spans="3:27">
      <c r="C624" s="82"/>
      <c r="E624" s="30" t="str">
        <f t="shared" si="157"/>
        <v>00:00:00</v>
      </c>
      <c r="F624" s="36" t="str">
        <f t="shared" si="150"/>
        <v/>
      </c>
      <c r="G624" s="36">
        <f t="shared" si="151"/>
        <v>0</v>
      </c>
      <c r="H624" s="3" t="str">
        <f t="shared" si="152"/>
        <v/>
      </c>
      <c r="I624" s="3">
        <f t="shared" si="153"/>
        <v>0</v>
      </c>
      <c r="L624" s="35">
        <f t="shared" si="161"/>
        <v>1</v>
      </c>
      <c r="O624" s="27">
        <f t="shared" si="154"/>
        <v>0</v>
      </c>
      <c r="P624" s="3">
        <v>622</v>
      </c>
      <c r="Q624" s="3" t="e">
        <f t="shared" si="158"/>
        <v>#N/A</v>
      </c>
      <c r="R624" s="3" t="e">
        <f t="shared" si="159"/>
        <v>#N/A</v>
      </c>
      <c r="T624" s="46" t="str">
        <f t="shared" si="155"/>
        <v/>
      </c>
      <c r="U624" s="48" t="str">
        <f t="shared" si="156"/>
        <v/>
      </c>
      <c r="W624" s="56">
        <f t="shared" si="147"/>
        <v>0</v>
      </c>
      <c r="X624" s="57" t="str">
        <f t="shared" si="148"/>
        <v/>
      </c>
      <c r="Y624" s="58">
        <f t="shared" si="149"/>
        <v>0</v>
      </c>
      <c r="AA624" s="62" t="str">
        <f t="shared" si="160"/>
        <v/>
      </c>
    </row>
    <row r="625" spans="3:27">
      <c r="C625" s="82"/>
      <c r="E625" s="30" t="str">
        <f t="shared" si="157"/>
        <v>00:00:00</v>
      </c>
      <c r="F625" s="36" t="str">
        <f t="shared" si="150"/>
        <v/>
      </c>
      <c r="G625" s="36">
        <f t="shared" si="151"/>
        <v>0</v>
      </c>
      <c r="H625" s="3" t="str">
        <f t="shared" si="152"/>
        <v/>
      </c>
      <c r="I625" s="3">
        <f t="shared" si="153"/>
        <v>0</v>
      </c>
      <c r="L625" s="35">
        <f t="shared" si="161"/>
        <v>1</v>
      </c>
      <c r="O625" s="27">
        <f t="shared" si="154"/>
        <v>0</v>
      </c>
      <c r="P625" s="3">
        <v>623</v>
      </c>
      <c r="Q625" s="3" t="e">
        <f t="shared" si="158"/>
        <v>#N/A</v>
      </c>
      <c r="R625" s="3" t="e">
        <f t="shared" si="159"/>
        <v>#N/A</v>
      </c>
      <c r="T625" s="46" t="str">
        <f t="shared" si="155"/>
        <v/>
      </c>
      <c r="U625" s="48" t="str">
        <f t="shared" si="156"/>
        <v/>
      </c>
      <c r="W625" s="56">
        <f t="shared" si="147"/>
        <v>0</v>
      </c>
      <c r="X625" s="57" t="str">
        <f t="shared" si="148"/>
        <v/>
      </c>
      <c r="Y625" s="58">
        <f t="shared" si="149"/>
        <v>0</v>
      </c>
      <c r="AA625" s="62" t="str">
        <f t="shared" si="160"/>
        <v/>
      </c>
    </row>
    <row r="626" spans="3:27">
      <c r="C626" s="82"/>
      <c r="E626" s="30" t="str">
        <f t="shared" si="157"/>
        <v>00:00:00</v>
      </c>
      <c r="F626" s="36" t="str">
        <f t="shared" si="150"/>
        <v/>
      </c>
      <c r="G626" s="36">
        <f t="shared" si="151"/>
        <v>0</v>
      </c>
      <c r="H626" s="3" t="str">
        <f t="shared" si="152"/>
        <v/>
      </c>
      <c r="I626" s="3">
        <f t="shared" si="153"/>
        <v>0</v>
      </c>
      <c r="L626" s="35">
        <f t="shared" si="161"/>
        <v>1</v>
      </c>
      <c r="O626" s="27">
        <f t="shared" si="154"/>
        <v>0</v>
      </c>
      <c r="P626" s="3">
        <v>624</v>
      </c>
      <c r="Q626" s="3" t="e">
        <f t="shared" si="158"/>
        <v>#N/A</v>
      </c>
      <c r="R626" s="3" t="e">
        <f t="shared" si="159"/>
        <v>#N/A</v>
      </c>
      <c r="T626" s="46" t="str">
        <f t="shared" si="155"/>
        <v/>
      </c>
      <c r="U626" s="48" t="str">
        <f t="shared" si="156"/>
        <v/>
      </c>
      <c r="W626" s="56">
        <f t="shared" si="147"/>
        <v>0</v>
      </c>
      <c r="X626" s="57" t="str">
        <f t="shared" si="148"/>
        <v/>
      </c>
      <c r="Y626" s="58">
        <f t="shared" si="149"/>
        <v>0</v>
      </c>
      <c r="AA626" s="62" t="str">
        <f t="shared" si="160"/>
        <v/>
      </c>
    </row>
    <row r="627" spans="3:27">
      <c r="C627" s="82"/>
      <c r="E627" s="30" t="str">
        <f t="shared" si="157"/>
        <v>00:00:00</v>
      </c>
      <c r="F627" s="36" t="str">
        <f t="shared" si="150"/>
        <v/>
      </c>
      <c r="G627" s="36">
        <f t="shared" si="151"/>
        <v>0</v>
      </c>
      <c r="H627" s="3" t="str">
        <f t="shared" si="152"/>
        <v/>
      </c>
      <c r="I627" s="3">
        <f t="shared" si="153"/>
        <v>0</v>
      </c>
      <c r="L627" s="35">
        <f t="shared" si="161"/>
        <v>1</v>
      </c>
      <c r="O627" s="27">
        <f t="shared" si="154"/>
        <v>0</v>
      </c>
      <c r="P627" s="3">
        <v>625</v>
      </c>
      <c r="Q627" s="3" t="e">
        <f t="shared" si="158"/>
        <v>#N/A</v>
      </c>
      <c r="R627" s="3" t="e">
        <f t="shared" si="159"/>
        <v>#N/A</v>
      </c>
      <c r="T627" s="46" t="str">
        <f t="shared" si="155"/>
        <v/>
      </c>
      <c r="U627" s="48" t="str">
        <f t="shared" si="156"/>
        <v/>
      </c>
      <c r="W627" s="56">
        <f t="shared" si="147"/>
        <v>0</v>
      </c>
      <c r="X627" s="57" t="str">
        <f t="shared" si="148"/>
        <v/>
      </c>
      <c r="Y627" s="58">
        <f t="shared" si="149"/>
        <v>0</v>
      </c>
      <c r="AA627" s="62" t="str">
        <f t="shared" si="160"/>
        <v/>
      </c>
    </row>
    <row r="628" spans="3:27">
      <c r="C628" s="82"/>
      <c r="E628" s="30" t="str">
        <f t="shared" si="157"/>
        <v>00:00:00</v>
      </c>
      <c r="F628" s="36" t="str">
        <f t="shared" si="150"/>
        <v/>
      </c>
      <c r="G628" s="36">
        <f t="shared" si="151"/>
        <v>0</v>
      </c>
      <c r="H628" s="3" t="str">
        <f t="shared" si="152"/>
        <v/>
      </c>
      <c r="I628" s="3">
        <f t="shared" si="153"/>
        <v>0</v>
      </c>
      <c r="L628" s="35">
        <f t="shared" si="161"/>
        <v>1</v>
      </c>
      <c r="O628" s="27">
        <f t="shared" si="154"/>
        <v>0</v>
      </c>
      <c r="P628" s="3">
        <v>626</v>
      </c>
      <c r="Q628" s="3" t="e">
        <f t="shared" si="158"/>
        <v>#N/A</v>
      </c>
      <c r="R628" s="3" t="e">
        <f t="shared" si="159"/>
        <v>#N/A</v>
      </c>
      <c r="T628" s="46" t="str">
        <f t="shared" si="155"/>
        <v/>
      </c>
      <c r="U628" s="48" t="str">
        <f t="shared" si="156"/>
        <v/>
      </c>
      <c r="W628" s="56">
        <f t="shared" si="147"/>
        <v>0</v>
      </c>
      <c r="X628" s="57" t="str">
        <f t="shared" si="148"/>
        <v/>
      </c>
      <c r="Y628" s="58">
        <f t="shared" si="149"/>
        <v>0</v>
      </c>
      <c r="AA628" s="62" t="str">
        <f t="shared" si="160"/>
        <v/>
      </c>
    </row>
    <row r="629" spans="3:27">
      <c r="C629" s="82"/>
      <c r="E629" s="30" t="str">
        <f t="shared" si="157"/>
        <v>00:00:00</v>
      </c>
      <c r="F629" s="36" t="str">
        <f t="shared" si="150"/>
        <v/>
      </c>
      <c r="G629" s="36">
        <f t="shared" si="151"/>
        <v>0</v>
      </c>
      <c r="H629" s="3" t="str">
        <f t="shared" si="152"/>
        <v/>
      </c>
      <c r="I629" s="3">
        <f t="shared" si="153"/>
        <v>0</v>
      </c>
      <c r="L629" s="35">
        <f t="shared" si="161"/>
        <v>1</v>
      </c>
      <c r="O629" s="27">
        <f t="shared" si="154"/>
        <v>0</v>
      </c>
      <c r="P629" s="3">
        <v>627</v>
      </c>
      <c r="Q629" s="3" t="e">
        <f t="shared" si="158"/>
        <v>#N/A</v>
      </c>
      <c r="R629" s="3" t="e">
        <f t="shared" si="159"/>
        <v>#N/A</v>
      </c>
      <c r="T629" s="46" t="str">
        <f t="shared" si="155"/>
        <v/>
      </c>
      <c r="U629" s="48" t="str">
        <f t="shared" si="156"/>
        <v/>
      </c>
      <c r="W629" s="56">
        <f t="shared" si="147"/>
        <v>0</v>
      </c>
      <c r="X629" s="57" t="str">
        <f t="shared" si="148"/>
        <v/>
      </c>
      <c r="Y629" s="58">
        <f t="shared" si="149"/>
        <v>0</v>
      </c>
      <c r="AA629" s="62" t="str">
        <f t="shared" si="160"/>
        <v/>
      </c>
    </row>
    <row r="630" spans="3:27">
      <c r="C630" s="82"/>
      <c r="E630" s="30" t="str">
        <f t="shared" si="157"/>
        <v>00:00:00</v>
      </c>
      <c r="F630" s="36" t="str">
        <f t="shared" si="150"/>
        <v/>
      </c>
      <c r="G630" s="36">
        <f t="shared" si="151"/>
        <v>0</v>
      </c>
      <c r="H630" s="3" t="str">
        <f t="shared" si="152"/>
        <v/>
      </c>
      <c r="I630" s="3">
        <f t="shared" si="153"/>
        <v>0</v>
      </c>
      <c r="L630" s="35">
        <f t="shared" si="161"/>
        <v>1</v>
      </c>
      <c r="O630" s="27">
        <f t="shared" si="154"/>
        <v>0</v>
      </c>
      <c r="P630" s="3">
        <v>628</v>
      </c>
      <c r="Q630" s="3" t="e">
        <f t="shared" si="158"/>
        <v>#N/A</v>
      </c>
      <c r="R630" s="3" t="e">
        <f t="shared" si="159"/>
        <v>#N/A</v>
      </c>
      <c r="T630" s="46" t="str">
        <f t="shared" si="155"/>
        <v/>
      </c>
      <c r="U630" s="48" t="str">
        <f t="shared" si="156"/>
        <v/>
      </c>
      <c r="W630" s="56">
        <f t="shared" si="147"/>
        <v>0</v>
      </c>
      <c r="X630" s="57" t="str">
        <f t="shared" si="148"/>
        <v/>
      </c>
      <c r="Y630" s="58">
        <f t="shared" si="149"/>
        <v>0</v>
      </c>
      <c r="AA630" s="62" t="str">
        <f t="shared" si="160"/>
        <v/>
      </c>
    </row>
    <row r="631" spans="3:27">
      <c r="C631" s="82"/>
      <c r="E631" s="30" t="str">
        <f t="shared" si="157"/>
        <v>00:00:00</v>
      </c>
      <c r="F631" s="36" t="str">
        <f t="shared" si="150"/>
        <v/>
      </c>
      <c r="G631" s="36">
        <f t="shared" si="151"/>
        <v>0</v>
      </c>
      <c r="H631" s="3" t="str">
        <f t="shared" si="152"/>
        <v/>
      </c>
      <c r="I631" s="3">
        <f t="shared" si="153"/>
        <v>0</v>
      </c>
      <c r="L631" s="35">
        <f t="shared" si="161"/>
        <v>1</v>
      </c>
      <c r="O631" s="27">
        <f t="shared" si="154"/>
        <v>0</v>
      </c>
      <c r="P631" s="3">
        <v>629</v>
      </c>
      <c r="Q631" s="3" t="e">
        <f t="shared" si="158"/>
        <v>#N/A</v>
      </c>
      <c r="R631" s="3" t="e">
        <f t="shared" si="159"/>
        <v>#N/A</v>
      </c>
      <c r="T631" s="46" t="str">
        <f t="shared" si="155"/>
        <v/>
      </c>
      <c r="U631" s="48" t="str">
        <f t="shared" si="156"/>
        <v/>
      </c>
      <c r="W631" s="56">
        <f t="shared" si="147"/>
        <v>0</v>
      </c>
      <c r="X631" s="57" t="str">
        <f t="shared" si="148"/>
        <v/>
      </c>
      <c r="Y631" s="58">
        <f t="shared" si="149"/>
        <v>0</v>
      </c>
      <c r="AA631" s="62" t="str">
        <f t="shared" si="160"/>
        <v/>
      </c>
    </row>
    <row r="632" spans="3:27">
      <c r="C632" s="82"/>
      <c r="E632" s="30" t="str">
        <f t="shared" si="157"/>
        <v>00:00:00</v>
      </c>
      <c r="F632" s="36" t="str">
        <f t="shared" si="150"/>
        <v/>
      </c>
      <c r="G632" s="36">
        <f t="shared" si="151"/>
        <v>0</v>
      </c>
      <c r="H632" s="3" t="str">
        <f t="shared" si="152"/>
        <v/>
      </c>
      <c r="I632" s="3">
        <f t="shared" si="153"/>
        <v>0</v>
      </c>
      <c r="L632" s="35">
        <f t="shared" si="161"/>
        <v>1</v>
      </c>
      <c r="O632" s="27">
        <f t="shared" si="154"/>
        <v>0</v>
      </c>
      <c r="P632" s="3">
        <v>630</v>
      </c>
      <c r="Q632" s="3" t="e">
        <f t="shared" si="158"/>
        <v>#N/A</v>
      </c>
      <c r="R632" s="3" t="e">
        <f t="shared" si="159"/>
        <v>#N/A</v>
      </c>
      <c r="T632" s="46" t="str">
        <f t="shared" si="155"/>
        <v/>
      </c>
      <c r="U632" s="48" t="str">
        <f t="shared" si="156"/>
        <v/>
      </c>
      <c r="W632" s="56">
        <f t="shared" si="147"/>
        <v>0</v>
      </c>
      <c r="X632" s="57" t="str">
        <f t="shared" si="148"/>
        <v/>
      </c>
      <c r="Y632" s="58">
        <f t="shared" si="149"/>
        <v>0</v>
      </c>
      <c r="AA632" s="62" t="str">
        <f t="shared" si="160"/>
        <v/>
      </c>
    </row>
    <row r="633" spans="3:27">
      <c r="C633" s="82"/>
      <c r="E633" s="30" t="str">
        <f t="shared" si="157"/>
        <v>00:00:00</v>
      </c>
      <c r="F633" s="36" t="str">
        <f t="shared" si="150"/>
        <v/>
      </c>
      <c r="G633" s="36">
        <f t="shared" si="151"/>
        <v>0</v>
      </c>
      <c r="H633" s="3" t="str">
        <f t="shared" si="152"/>
        <v/>
      </c>
      <c r="I633" s="3">
        <f t="shared" si="153"/>
        <v>0</v>
      </c>
      <c r="L633" s="35">
        <f t="shared" si="161"/>
        <v>1</v>
      </c>
      <c r="O633" s="27">
        <f t="shared" si="154"/>
        <v>0</v>
      </c>
      <c r="P633" s="3">
        <v>631</v>
      </c>
      <c r="Q633" s="3" t="e">
        <f t="shared" si="158"/>
        <v>#N/A</v>
      </c>
      <c r="R633" s="3" t="e">
        <f t="shared" si="159"/>
        <v>#N/A</v>
      </c>
      <c r="T633" s="46" t="str">
        <f t="shared" si="155"/>
        <v/>
      </c>
      <c r="U633" s="48" t="str">
        <f t="shared" si="156"/>
        <v/>
      </c>
      <c r="W633" s="56">
        <f t="shared" si="147"/>
        <v>0</v>
      </c>
      <c r="X633" s="57" t="str">
        <f t="shared" si="148"/>
        <v/>
      </c>
      <c r="Y633" s="58">
        <f t="shared" si="149"/>
        <v>0</v>
      </c>
      <c r="AA633" s="62" t="str">
        <f t="shared" si="160"/>
        <v/>
      </c>
    </row>
    <row r="634" spans="3:27">
      <c r="C634" s="82"/>
      <c r="E634" s="30" t="str">
        <f t="shared" si="157"/>
        <v>00:00:00</v>
      </c>
      <c r="F634" s="36" t="str">
        <f t="shared" si="150"/>
        <v/>
      </c>
      <c r="G634" s="36">
        <f t="shared" si="151"/>
        <v>0</v>
      </c>
      <c r="H634" s="3" t="str">
        <f t="shared" si="152"/>
        <v/>
      </c>
      <c r="I634" s="3">
        <f t="shared" si="153"/>
        <v>0</v>
      </c>
      <c r="L634" s="35">
        <f t="shared" si="161"/>
        <v>1</v>
      </c>
      <c r="O634" s="27">
        <f t="shared" si="154"/>
        <v>0</v>
      </c>
      <c r="P634" s="3">
        <v>632</v>
      </c>
      <c r="Q634" s="3" t="e">
        <f t="shared" si="158"/>
        <v>#N/A</v>
      </c>
      <c r="R634" s="3" t="e">
        <f t="shared" si="159"/>
        <v>#N/A</v>
      </c>
      <c r="T634" s="46" t="str">
        <f t="shared" si="155"/>
        <v/>
      </c>
      <c r="U634" s="48" t="str">
        <f t="shared" si="156"/>
        <v/>
      </c>
      <c r="W634" s="56">
        <f t="shared" si="147"/>
        <v>0</v>
      </c>
      <c r="X634" s="57" t="str">
        <f t="shared" si="148"/>
        <v/>
      </c>
      <c r="Y634" s="58">
        <f t="shared" si="149"/>
        <v>0</v>
      </c>
      <c r="AA634" s="62" t="str">
        <f t="shared" si="160"/>
        <v/>
      </c>
    </row>
    <row r="635" spans="3:27">
      <c r="C635" s="82"/>
      <c r="E635" s="30" t="str">
        <f t="shared" si="157"/>
        <v>00:00:00</v>
      </c>
      <c r="F635" s="36" t="str">
        <f t="shared" si="150"/>
        <v/>
      </c>
      <c r="G635" s="36">
        <f t="shared" si="151"/>
        <v>0</v>
      </c>
      <c r="H635" s="3" t="str">
        <f t="shared" si="152"/>
        <v/>
      </c>
      <c r="I635" s="3">
        <f t="shared" si="153"/>
        <v>0</v>
      </c>
      <c r="L635" s="35">
        <f t="shared" si="161"/>
        <v>1</v>
      </c>
      <c r="O635" s="27">
        <f t="shared" si="154"/>
        <v>0</v>
      </c>
      <c r="P635" s="3">
        <v>633</v>
      </c>
      <c r="Q635" s="3" t="e">
        <f t="shared" si="158"/>
        <v>#N/A</v>
      </c>
      <c r="R635" s="3" t="e">
        <f t="shared" si="159"/>
        <v>#N/A</v>
      </c>
      <c r="T635" s="46" t="str">
        <f t="shared" si="155"/>
        <v/>
      </c>
      <c r="U635" s="48" t="str">
        <f t="shared" si="156"/>
        <v/>
      </c>
      <c r="W635" s="56">
        <f t="shared" si="147"/>
        <v>0</v>
      </c>
      <c r="X635" s="57" t="str">
        <f t="shared" si="148"/>
        <v/>
      </c>
      <c r="Y635" s="58">
        <f t="shared" si="149"/>
        <v>0</v>
      </c>
      <c r="AA635" s="62" t="str">
        <f t="shared" si="160"/>
        <v/>
      </c>
    </row>
    <row r="636" spans="3:27">
      <c r="C636" s="82"/>
      <c r="E636" s="30" t="str">
        <f t="shared" si="157"/>
        <v>00:00:00</v>
      </c>
      <c r="F636" s="36" t="str">
        <f t="shared" si="150"/>
        <v/>
      </c>
      <c r="G636" s="36">
        <f t="shared" si="151"/>
        <v>0</v>
      </c>
      <c r="H636" s="3" t="str">
        <f t="shared" si="152"/>
        <v/>
      </c>
      <c r="I636" s="3">
        <f t="shared" si="153"/>
        <v>0</v>
      </c>
      <c r="L636" s="35">
        <f t="shared" si="161"/>
        <v>1</v>
      </c>
      <c r="O636" s="27">
        <f t="shared" si="154"/>
        <v>0</v>
      </c>
      <c r="P636" s="3">
        <v>634</v>
      </c>
      <c r="Q636" s="3" t="e">
        <f t="shared" si="158"/>
        <v>#N/A</v>
      </c>
      <c r="R636" s="3" t="e">
        <f t="shared" si="159"/>
        <v>#N/A</v>
      </c>
      <c r="T636" s="46" t="str">
        <f t="shared" si="155"/>
        <v/>
      </c>
      <c r="U636" s="48" t="str">
        <f t="shared" si="156"/>
        <v/>
      </c>
      <c r="W636" s="56">
        <f t="shared" si="147"/>
        <v>0</v>
      </c>
      <c r="X636" s="57" t="str">
        <f t="shared" si="148"/>
        <v/>
      </c>
      <c r="Y636" s="58">
        <f t="shared" si="149"/>
        <v>0</v>
      </c>
      <c r="AA636" s="62" t="str">
        <f t="shared" si="160"/>
        <v/>
      </c>
    </row>
    <row r="637" spans="3:27">
      <c r="C637" s="82"/>
      <c r="E637" s="30" t="str">
        <f t="shared" si="157"/>
        <v>00:00:00</v>
      </c>
      <c r="F637" s="36" t="str">
        <f t="shared" si="150"/>
        <v/>
      </c>
      <c r="G637" s="36">
        <f t="shared" si="151"/>
        <v>0</v>
      </c>
      <c r="H637" s="3" t="str">
        <f t="shared" si="152"/>
        <v/>
      </c>
      <c r="I637" s="3">
        <f t="shared" si="153"/>
        <v>0</v>
      </c>
      <c r="L637" s="35">
        <f t="shared" si="161"/>
        <v>1</v>
      </c>
      <c r="O637" s="27">
        <f t="shared" si="154"/>
        <v>0</v>
      </c>
      <c r="P637" s="3">
        <v>635</v>
      </c>
      <c r="Q637" s="3" t="e">
        <f t="shared" si="158"/>
        <v>#N/A</v>
      </c>
      <c r="R637" s="3" t="e">
        <f t="shared" si="159"/>
        <v>#N/A</v>
      </c>
      <c r="T637" s="46" t="str">
        <f t="shared" si="155"/>
        <v/>
      </c>
      <c r="U637" s="48" t="str">
        <f t="shared" si="156"/>
        <v/>
      </c>
      <c r="W637" s="56">
        <f t="shared" si="147"/>
        <v>0</v>
      </c>
      <c r="X637" s="57" t="str">
        <f t="shared" si="148"/>
        <v/>
      </c>
      <c r="Y637" s="58">
        <f t="shared" si="149"/>
        <v>0</v>
      </c>
      <c r="AA637" s="62" t="str">
        <f t="shared" si="160"/>
        <v/>
      </c>
    </row>
    <row r="638" spans="3:27">
      <c r="C638" s="82"/>
      <c r="E638" s="30" t="str">
        <f t="shared" si="157"/>
        <v>00:00:00</v>
      </c>
      <c r="F638" s="36" t="str">
        <f t="shared" si="150"/>
        <v/>
      </c>
      <c r="G638" s="36">
        <f t="shared" si="151"/>
        <v>0</v>
      </c>
      <c r="H638" s="3" t="str">
        <f t="shared" si="152"/>
        <v/>
      </c>
      <c r="I638" s="3">
        <f t="shared" si="153"/>
        <v>0</v>
      </c>
      <c r="L638" s="35">
        <f t="shared" si="161"/>
        <v>1</v>
      </c>
      <c r="O638" s="27">
        <f t="shared" si="154"/>
        <v>0</v>
      </c>
      <c r="P638" s="3">
        <v>636</v>
      </c>
      <c r="Q638" s="3" t="e">
        <f t="shared" si="158"/>
        <v>#N/A</v>
      </c>
      <c r="R638" s="3" t="e">
        <f t="shared" si="159"/>
        <v>#N/A</v>
      </c>
      <c r="T638" s="46" t="str">
        <f t="shared" si="155"/>
        <v/>
      </c>
      <c r="U638" s="48" t="str">
        <f t="shared" si="156"/>
        <v/>
      </c>
      <c r="W638" s="56">
        <f t="shared" si="147"/>
        <v>0</v>
      </c>
      <c r="X638" s="57" t="str">
        <f t="shared" si="148"/>
        <v/>
      </c>
      <c r="Y638" s="58">
        <f t="shared" si="149"/>
        <v>0</v>
      </c>
      <c r="AA638" s="62" t="str">
        <f t="shared" si="160"/>
        <v/>
      </c>
    </row>
    <row r="639" spans="3:27">
      <c r="C639" s="82"/>
      <c r="E639" s="30" t="str">
        <f t="shared" si="157"/>
        <v>00:00:00</v>
      </c>
      <c r="F639" s="36" t="str">
        <f t="shared" si="150"/>
        <v/>
      </c>
      <c r="G639" s="36">
        <f t="shared" si="151"/>
        <v>0</v>
      </c>
      <c r="H639" s="3" t="str">
        <f t="shared" si="152"/>
        <v/>
      </c>
      <c r="I639" s="3">
        <f t="shared" si="153"/>
        <v>0</v>
      </c>
      <c r="L639" s="35">
        <f t="shared" si="161"/>
        <v>1</v>
      </c>
      <c r="O639" s="27">
        <f t="shared" si="154"/>
        <v>0</v>
      </c>
      <c r="P639" s="3">
        <v>637</v>
      </c>
      <c r="Q639" s="3" t="e">
        <f t="shared" si="158"/>
        <v>#N/A</v>
      </c>
      <c r="R639" s="3" t="e">
        <f t="shared" si="159"/>
        <v>#N/A</v>
      </c>
      <c r="T639" s="46" t="str">
        <f t="shared" si="155"/>
        <v/>
      </c>
      <c r="U639" s="48" t="str">
        <f t="shared" si="156"/>
        <v/>
      </c>
      <c r="W639" s="56">
        <f t="shared" si="147"/>
        <v>0</v>
      </c>
      <c r="X639" s="57" t="str">
        <f t="shared" si="148"/>
        <v/>
      </c>
      <c r="Y639" s="58">
        <f t="shared" si="149"/>
        <v>0</v>
      </c>
      <c r="AA639" s="62" t="str">
        <f t="shared" si="160"/>
        <v/>
      </c>
    </row>
    <row r="640" spans="3:27">
      <c r="C640" s="82"/>
      <c r="E640" s="30" t="str">
        <f t="shared" si="157"/>
        <v>00:00:00</v>
      </c>
      <c r="F640" s="36" t="str">
        <f t="shared" si="150"/>
        <v/>
      </c>
      <c r="G640" s="36">
        <f t="shared" si="151"/>
        <v>0</v>
      </c>
      <c r="H640" s="3" t="str">
        <f t="shared" si="152"/>
        <v/>
      </c>
      <c r="I640" s="3">
        <f t="shared" si="153"/>
        <v>0</v>
      </c>
      <c r="L640" s="35">
        <f t="shared" si="161"/>
        <v>1</v>
      </c>
      <c r="O640" s="27">
        <f t="shared" si="154"/>
        <v>0</v>
      </c>
      <c r="P640" s="3">
        <v>638</v>
      </c>
      <c r="Q640" s="3" t="e">
        <f t="shared" si="158"/>
        <v>#N/A</v>
      </c>
      <c r="R640" s="3" t="e">
        <f t="shared" si="159"/>
        <v>#N/A</v>
      </c>
      <c r="T640" s="46" t="str">
        <f t="shared" si="155"/>
        <v/>
      </c>
      <c r="U640" s="48" t="str">
        <f t="shared" si="156"/>
        <v/>
      </c>
      <c r="W640" s="56">
        <f t="shared" si="147"/>
        <v>0</v>
      </c>
      <c r="X640" s="57" t="str">
        <f t="shared" si="148"/>
        <v/>
      </c>
      <c r="Y640" s="58">
        <f t="shared" si="149"/>
        <v>0</v>
      </c>
      <c r="AA640" s="62" t="str">
        <f t="shared" si="160"/>
        <v/>
      </c>
    </row>
    <row r="641" spans="3:27">
      <c r="C641" s="82"/>
      <c r="E641" s="30" t="str">
        <f t="shared" si="157"/>
        <v>00:00:00</v>
      </c>
      <c r="F641" s="36" t="str">
        <f t="shared" si="150"/>
        <v/>
      </c>
      <c r="G641" s="36">
        <f t="shared" si="151"/>
        <v>0</v>
      </c>
      <c r="H641" s="3" t="str">
        <f t="shared" si="152"/>
        <v/>
      </c>
      <c r="I641" s="3">
        <f t="shared" si="153"/>
        <v>0</v>
      </c>
      <c r="L641" s="35">
        <f t="shared" si="161"/>
        <v>1</v>
      </c>
      <c r="O641" s="27">
        <f t="shared" si="154"/>
        <v>0</v>
      </c>
      <c r="P641" s="3">
        <v>639</v>
      </c>
      <c r="Q641" s="3" t="e">
        <f t="shared" si="158"/>
        <v>#N/A</v>
      </c>
      <c r="R641" s="3" t="e">
        <f t="shared" si="159"/>
        <v>#N/A</v>
      </c>
      <c r="T641" s="46" t="str">
        <f t="shared" si="155"/>
        <v/>
      </c>
      <c r="U641" s="48" t="str">
        <f t="shared" si="156"/>
        <v/>
      </c>
      <c r="W641" s="56">
        <f t="shared" si="147"/>
        <v>0</v>
      </c>
      <c r="X641" s="57" t="str">
        <f t="shared" si="148"/>
        <v/>
      </c>
      <c r="Y641" s="58">
        <f t="shared" si="149"/>
        <v>0</v>
      </c>
      <c r="AA641" s="62" t="str">
        <f t="shared" si="160"/>
        <v/>
      </c>
    </row>
    <row r="642" spans="3:27">
      <c r="C642" s="82"/>
      <c r="E642" s="30" t="str">
        <f t="shared" si="157"/>
        <v>00:00:00</v>
      </c>
      <c r="F642" s="36" t="str">
        <f t="shared" si="150"/>
        <v/>
      </c>
      <c r="G642" s="36">
        <f t="shared" si="151"/>
        <v>0</v>
      </c>
      <c r="H642" s="3" t="str">
        <f t="shared" si="152"/>
        <v/>
      </c>
      <c r="I642" s="3">
        <f t="shared" si="153"/>
        <v>0</v>
      </c>
      <c r="L642" s="35">
        <f t="shared" si="161"/>
        <v>1</v>
      </c>
      <c r="O642" s="27">
        <f t="shared" si="154"/>
        <v>0</v>
      </c>
      <c r="P642" s="3">
        <v>640</v>
      </c>
      <c r="Q642" s="3" t="e">
        <f t="shared" si="158"/>
        <v>#N/A</v>
      </c>
      <c r="R642" s="3" t="e">
        <f t="shared" si="159"/>
        <v>#N/A</v>
      </c>
      <c r="T642" s="46" t="str">
        <f t="shared" si="155"/>
        <v/>
      </c>
      <c r="U642" s="48" t="str">
        <f t="shared" si="156"/>
        <v/>
      </c>
      <c r="W642" s="56">
        <f t="shared" ref="W642:W705" si="162">IF(H642&lt;&gt;H643,1,0)</f>
        <v>0</v>
      </c>
      <c r="X642" s="57" t="str">
        <f t="shared" ref="X642:X705" si="163">IF(W642=1,H642,"")</f>
        <v/>
      </c>
      <c r="Y642" s="58">
        <f t="shared" ref="Y642:Y705" si="164">D642</f>
        <v>0</v>
      </c>
      <c r="AA642" s="62" t="str">
        <f t="shared" si="160"/>
        <v/>
      </c>
    </row>
    <row r="643" spans="3:27">
      <c r="C643" s="82"/>
      <c r="E643" s="30" t="str">
        <f t="shared" si="157"/>
        <v>00:00:00</v>
      </c>
      <c r="F643" s="36" t="str">
        <f t="shared" ref="F643:F706" si="165">IF(G643=0,"",IF(G643&lt;8,1,IF(G643&lt;15,2,IF(G643&lt;22,3,4))))</f>
        <v/>
      </c>
      <c r="G643" s="36">
        <f t="shared" ref="G643:G706" si="166">DAY(B643)</f>
        <v>0</v>
      </c>
      <c r="H643" s="3" t="str">
        <f t="shared" ref="H643:H706" si="167">IF(ISNUMBER(B643),VLOOKUP(MONTH(B643),$J$2:$K$13,2,FALSE),"")</f>
        <v/>
      </c>
      <c r="I643" s="3">
        <f t="shared" ref="I643:I706" si="168">IF(A643&lt;&gt;A644,1,0)</f>
        <v>0</v>
      </c>
      <c r="L643" s="35">
        <f t="shared" si="161"/>
        <v>1</v>
      </c>
      <c r="O643" s="27">
        <f t="shared" ref="O643:O706" si="169">D643</f>
        <v>0</v>
      </c>
      <c r="P643" s="3">
        <v>641</v>
      </c>
      <c r="Q643" s="3" t="e">
        <f t="shared" si="158"/>
        <v>#N/A</v>
      </c>
      <c r="R643" s="3" t="e">
        <f t="shared" si="159"/>
        <v>#N/A</v>
      </c>
      <c r="T643" s="46" t="str">
        <f t="shared" ref="T643:T706" si="170">IFERROR(R643,"")</f>
        <v/>
      </c>
      <c r="U643" s="48" t="str">
        <f t="shared" ref="U643:U706" si="171">IFERROR(Q643,"")</f>
        <v/>
      </c>
      <c r="W643" s="56">
        <f t="shared" si="162"/>
        <v>0</v>
      </c>
      <c r="X643" s="57" t="str">
        <f t="shared" si="163"/>
        <v/>
      </c>
      <c r="Y643" s="58">
        <f t="shared" si="164"/>
        <v>0</v>
      </c>
      <c r="AA643" s="62" t="str">
        <f t="shared" si="160"/>
        <v/>
      </c>
    </row>
    <row r="644" spans="3:27">
      <c r="C644" s="82"/>
      <c r="E644" s="30" t="str">
        <f t="shared" ref="E644:E707" si="172">IF(A644&lt;&gt;A643,TEXT(C644,"hh:mm:ss"),TEXT(C644+E643,"hh:mm:ss"))</f>
        <v>00:00:00</v>
      </c>
      <c r="F644" s="36" t="str">
        <f t="shared" si="165"/>
        <v/>
      </c>
      <c r="G644" s="36">
        <f t="shared" si="166"/>
        <v>0</v>
      </c>
      <c r="H644" s="3" t="str">
        <f t="shared" si="167"/>
        <v/>
      </c>
      <c r="I644" s="3">
        <f t="shared" si="168"/>
        <v>0</v>
      </c>
      <c r="L644" s="35">
        <f t="shared" si="161"/>
        <v>1</v>
      </c>
      <c r="O644" s="27">
        <f t="shared" si="169"/>
        <v>0</v>
      </c>
      <c r="P644" s="3">
        <v>642</v>
      </c>
      <c r="Q644" s="3" t="e">
        <f t="shared" ref="Q644:Q707" si="173">VLOOKUP(P644,M:O,3,FALSE)</f>
        <v>#N/A</v>
      </c>
      <c r="R644" s="3" t="e">
        <f t="shared" ref="R644:R707" si="174">VLOOKUP(P644,M:N,2,FALSE)</f>
        <v>#N/A</v>
      </c>
      <c r="T644" s="46" t="str">
        <f t="shared" si="170"/>
        <v/>
      </c>
      <c r="U644" s="48" t="str">
        <f t="shared" si="171"/>
        <v/>
      </c>
      <c r="W644" s="56">
        <f t="shared" si="162"/>
        <v>0</v>
      </c>
      <c r="X644" s="57" t="str">
        <f t="shared" si="163"/>
        <v/>
      </c>
      <c r="Y644" s="58">
        <f t="shared" si="164"/>
        <v>0</v>
      </c>
      <c r="AA644" s="62" t="str">
        <f t="shared" ref="AA644:AA707" si="175">IFERROR(VLOOKUP(Z644,X:Y,2,FALSE),"")</f>
        <v/>
      </c>
    </row>
    <row r="645" spans="3:27">
      <c r="C645" s="82"/>
      <c r="E645" s="30" t="str">
        <f t="shared" si="172"/>
        <v>00:00:00</v>
      </c>
      <c r="F645" s="36" t="str">
        <f t="shared" si="165"/>
        <v/>
      </c>
      <c r="G645" s="36">
        <f t="shared" si="166"/>
        <v>0</v>
      </c>
      <c r="H645" s="3" t="str">
        <f t="shared" si="167"/>
        <v/>
      </c>
      <c r="I645" s="3">
        <f t="shared" si="168"/>
        <v>0</v>
      </c>
      <c r="L645" s="35">
        <f t="shared" si="161"/>
        <v>1</v>
      </c>
      <c r="O645" s="27">
        <f t="shared" si="169"/>
        <v>0</v>
      </c>
      <c r="P645" s="3">
        <v>643</v>
      </c>
      <c r="Q645" s="3" t="e">
        <f t="shared" si="173"/>
        <v>#N/A</v>
      </c>
      <c r="R645" s="3" t="e">
        <f t="shared" si="174"/>
        <v>#N/A</v>
      </c>
      <c r="T645" s="46" t="str">
        <f t="shared" si="170"/>
        <v/>
      </c>
      <c r="U645" s="48" t="str">
        <f t="shared" si="171"/>
        <v/>
      </c>
      <c r="W645" s="56">
        <f t="shared" si="162"/>
        <v>0</v>
      </c>
      <c r="X645" s="57" t="str">
        <f t="shared" si="163"/>
        <v/>
      </c>
      <c r="Y645" s="58">
        <f t="shared" si="164"/>
        <v>0</v>
      </c>
      <c r="AA645" s="62" t="str">
        <f t="shared" si="175"/>
        <v/>
      </c>
    </row>
    <row r="646" spans="3:27">
      <c r="C646" s="82"/>
      <c r="E646" s="30" t="str">
        <f t="shared" si="172"/>
        <v>00:00:00</v>
      </c>
      <c r="F646" s="36" t="str">
        <f t="shared" si="165"/>
        <v/>
      </c>
      <c r="G646" s="36">
        <f t="shared" si="166"/>
        <v>0</v>
      </c>
      <c r="H646" s="3" t="str">
        <f t="shared" si="167"/>
        <v/>
      </c>
      <c r="I646" s="3">
        <f t="shared" si="168"/>
        <v>0</v>
      </c>
      <c r="L646" s="35">
        <f t="shared" si="161"/>
        <v>1</v>
      </c>
      <c r="O646" s="27">
        <f t="shared" si="169"/>
        <v>0</v>
      </c>
      <c r="P646" s="3">
        <v>644</v>
      </c>
      <c r="Q646" s="3" t="e">
        <f t="shared" si="173"/>
        <v>#N/A</v>
      </c>
      <c r="R646" s="3" t="e">
        <f t="shared" si="174"/>
        <v>#N/A</v>
      </c>
      <c r="T646" s="46" t="str">
        <f t="shared" si="170"/>
        <v/>
      </c>
      <c r="U646" s="48" t="str">
        <f t="shared" si="171"/>
        <v/>
      </c>
      <c r="W646" s="56">
        <f t="shared" si="162"/>
        <v>0</v>
      </c>
      <c r="X646" s="57" t="str">
        <f t="shared" si="163"/>
        <v/>
      </c>
      <c r="Y646" s="58">
        <f t="shared" si="164"/>
        <v>0</v>
      </c>
      <c r="AA646" s="62" t="str">
        <f t="shared" si="175"/>
        <v/>
      </c>
    </row>
    <row r="647" spans="3:27">
      <c r="C647" s="82"/>
      <c r="E647" s="30" t="str">
        <f t="shared" si="172"/>
        <v>00:00:00</v>
      </c>
      <c r="F647" s="36" t="str">
        <f t="shared" si="165"/>
        <v/>
      </c>
      <c r="G647" s="36">
        <f t="shared" si="166"/>
        <v>0</v>
      </c>
      <c r="H647" s="3" t="str">
        <f t="shared" si="167"/>
        <v/>
      </c>
      <c r="I647" s="3">
        <f t="shared" si="168"/>
        <v>0</v>
      </c>
      <c r="L647" s="35">
        <f t="shared" si="161"/>
        <v>1</v>
      </c>
      <c r="O647" s="27">
        <f t="shared" si="169"/>
        <v>0</v>
      </c>
      <c r="P647" s="3">
        <v>645</v>
      </c>
      <c r="Q647" s="3" t="e">
        <f t="shared" si="173"/>
        <v>#N/A</v>
      </c>
      <c r="R647" s="3" t="e">
        <f t="shared" si="174"/>
        <v>#N/A</v>
      </c>
      <c r="T647" s="46" t="str">
        <f t="shared" si="170"/>
        <v/>
      </c>
      <c r="U647" s="48" t="str">
        <f t="shared" si="171"/>
        <v/>
      </c>
      <c r="W647" s="56">
        <f t="shared" si="162"/>
        <v>0</v>
      </c>
      <c r="X647" s="57" t="str">
        <f t="shared" si="163"/>
        <v/>
      </c>
      <c r="Y647" s="58">
        <f t="shared" si="164"/>
        <v>0</v>
      </c>
      <c r="AA647" s="62" t="str">
        <f t="shared" si="175"/>
        <v/>
      </c>
    </row>
    <row r="648" spans="3:27">
      <c r="C648" s="82"/>
      <c r="E648" s="30" t="str">
        <f t="shared" si="172"/>
        <v>00:00:00</v>
      </c>
      <c r="F648" s="36" t="str">
        <f t="shared" si="165"/>
        <v/>
      </c>
      <c r="G648" s="36">
        <f t="shared" si="166"/>
        <v>0</v>
      </c>
      <c r="H648" s="3" t="str">
        <f t="shared" si="167"/>
        <v/>
      </c>
      <c r="I648" s="3">
        <f t="shared" si="168"/>
        <v>0</v>
      </c>
      <c r="L648" s="35">
        <f t="shared" si="161"/>
        <v>1</v>
      </c>
      <c r="O648" s="27">
        <f t="shared" si="169"/>
        <v>0</v>
      </c>
      <c r="P648" s="3">
        <v>646</v>
      </c>
      <c r="Q648" s="3" t="e">
        <f t="shared" si="173"/>
        <v>#N/A</v>
      </c>
      <c r="R648" s="3" t="e">
        <f t="shared" si="174"/>
        <v>#N/A</v>
      </c>
      <c r="T648" s="46" t="str">
        <f t="shared" si="170"/>
        <v/>
      </c>
      <c r="U648" s="48" t="str">
        <f t="shared" si="171"/>
        <v/>
      </c>
      <c r="W648" s="56">
        <f t="shared" si="162"/>
        <v>0</v>
      </c>
      <c r="X648" s="57" t="str">
        <f t="shared" si="163"/>
        <v/>
      </c>
      <c r="Y648" s="58">
        <f t="shared" si="164"/>
        <v>0</v>
      </c>
      <c r="AA648" s="62" t="str">
        <f t="shared" si="175"/>
        <v/>
      </c>
    </row>
    <row r="649" spans="3:27">
      <c r="C649" s="82"/>
      <c r="E649" s="30" t="str">
        <f t="shared" si="172"/>
        <v>00:00:00</v>
      </c>
      <c r="F649" s="36" t="str">
        <f t="shared" si="165"/>
        <v/>
      </c>
      <c r="G649" s="36">
        <f t="shared" si="166"/>
        <v>0</v>
      </c>
      <c r="H649" s="3" t="str">
        <f t="shared" si="167"/>
        <v/>
      </c>
      <c r="I649" s="3">
        <f t="shared" si="168"/>
        <v>0</v>
      </c>
      <c r="L649" s="35">
        <f t="shared" si="161"/>
        <v>1</v>
      </c>
      <c r="O649" s="27">
        <f t="shared" si="169"/>
        <v>0</v>
      </c>
      <c r="P649" s="3">
        <v>647</v>
      </c>
      <c r="Q649" s="3" t="e">
        <f t="shared" si="173"/>
        <v>#N/A</v>
      </c>
      <c r="R649" s="3" t="e">
        <f t="shared" si="174"/>
        <v>#N/A</v>
      </c>
      <c r="T649" s="46" t="str">
        <f t="shared" si="170"/>
        <v/>
      </c>
      <c r="U649" s="48" t="str">
        <f t="shared" si="171"/>
        <v/>
      </c>
      <c r="W649" s="56">
        <f t="shared" si="162"/>
        <v>0</v>
      </c>
      <c r="X649" s="57" t="str">
        <f t="shared" si="163"/>
        <v/>
      </c>
      <c r="Y649" s="58">
        <f t="shared" si="164"/>
        <v>0</v>
      </c>
      <c r="AA649" s="62" t="str">
        <f t="shared" si="175"/>
        <v/>
      </c>
    </row>
    <row r="650" spans="3:27">
      <c r="C650" s="82"/>
      <c r="E650" s="30" t="str">
        <f t="shared" si="172"/>
        <v>00:00:00</v>
      </c>
      <c r="F650" s="36" t="str">
        <f t="shared" si="165"/>
        <v/>
      </c>
      <c r="G650" s="36">
        <f t="shared" si="166"/>
        <v>0</v>
      </c>
      <c r="H650" s="3" t="str">
        <f t="shared" si="167"/>
        <v/>
      </c>
      <c r="I650" s="3">
        <f t="shared" si="168"/>
        <v>0</v>
      </c>
      <c r="L650" s="35">
        <f t="shared" si="161"/>
        <v>1</v>
      </c>
      <c r="O650" s="27">
        <f t="shared" si="169"/>
        <v>0</v>
      </c>
      <c r="P650" s="3">
        <v>648</v>
      </c>
      <c r="Q650" s="3" t="e">
        <f t="shared" si="173"/>
        <v>#N/A</v>
      </c>
      <c r="R650" s="3" t="e">
        <f t="shared" si="174"/>
        <v>#N/A</v>
      </c>
      <c r="T650" s="46" t="str">
        <f t="shared" si="170"/>
        <v/>
      </c>
      <c r="U650" s="48" t="str">
        <f t="shared" si="171"/>
        <v/>
      </c>
      <c r="W650" s="56">
        <f t="shared" si="162"/>
        <v>0</v>
      </c>
      <c r="X650" s="57" t="str">
        <f t="shared" si="163"/>
        <v/>
      </c>
      <c r="Y650" s="58">
        <f t="shared" si="164"/>
        <v>0</v>
      </c>
      <c r="AA650" s="62" t="str">
        <f t="shared" si="175"/>
        <v/>
      </c>
    </row>
    <row r="651" spans="3:27">
      <c r="C651" s="82"/>
      <c r="E651" s="30" t="str">
        <f t="shared" si="172"/>
        <v>00:00:00</v>
      </c>
      <c r="F651" s="36" t="str">
        <f t="shared" si="165"/>
        <v/>
      </c>
      <c r="G651" s="36">
        <f t="shared" si="166"/>
        <v>0</v>
      </c>
      <c r="H651" s="3" t="str">
        <f t="shared" si="167"/>
        <v/>
      </c>
      <c r="I651" s="3">
        <f t="shared" si="168"/>
        <v>0</v>
      </c>
      <c r="L651" s="35">
        <f t="shared" si="161"/>
        <v>1</v>
      </c>
      <c r="O651" s="27">
        <f t="shared" si="169"/>
        <v>0</v>
      </c>
      <c r="P651" s="3">
        <v>649</v>
      </c>
      <c r="Q651" s="3" t="e">
        <f t="shared" si="173"/>
        <v>#N/A</v>
      </c>
      <c r="R651" s="3" t="e">
        <f t="shared" si="174"/>
        <v>#N/A</v>
      </c>
      <c r="T651" s="46" t="str">
        <f t="shared" si="170"/>
        <v/>
      </c>
      <c r="U651" s="48" t="str">
        <f t="shared" si="171"/>
        <v/>
      </c>
      <c r="W651" s="56">
        <f t="shared" si="162"/>
        <v>0</v>
      </c>
      <c r="X651" s="57" t="str">
        <f t="shared" si="163"/>
        <v/>
      </c>
      <c r="Y651" s="58">
        <f t="shared" si="164"/>
        <v>0</v>
      </c>
      <c r="AA651" s="62" t="str">
        <f t="shared" si="175"/>
        <v/>
      </c>
    </row>
    <row r="652" spans="3:27">
      <c r="C652" s="82"/>
      <c r="E652" s="30" t="str">
        <f t="shared" si="172"/>
        <v>00:00:00</v>
      </c>
      <c r="F652" s="36" t="str">
        <f t="shared" si="165"/>
        <v/>
      </c>
      <c r="G652" s="36">
        <f t="shared" si="166"/>
        <v>0</v>
      </c>
      <c r="H652" s="3" t="str">
        <f t="shared" si="167"/>
        <v/>
      </c>
      <c r="I652" s="3">
        <f t="shared" si="168"/>
        <v>0</v>
      </c>
      <c r="L652" s="35">
        <f t="shared" ref="L652:L715" si="176">IF(I651=1,L651+I651,L651)</f>
        <v>1</v>
      </c>
      <c r="O652" s="27">
        <f t="shared" si="169"/>
        <v>0</v>
      </c>
      <c r="P652" s="3">
        <v>650</v>
      </c>
      <c r="Q652" s="3" t="e">
        <f t="shared" si="173"/>
        <v>#N/A</v>
      </c>
      <c r="R652" s="3" t="e">
        <f t="shared" si="174"/>
        <v>#N/A</v>
      </c>
      <c r="T652" s="46" t="str">
        <f t="shared" si="170"/>
        <v/>
      </c>
      <c r="U652" s="48" t="str">
        <f t="shared" si="171"/>
        <v/>
      </c>
      <c r="W652" s="56">
        <f t="shared" si="162"/>
        <v>0</v>
      </c>
      <c r="X652" s="57" t="str">
        <f t="shared" si="163"/>
        <v/>
      </c>
      <c r="Y652" s="58">
        <f t="shared" si="164"/>
        <v>0</v>
      </c>
      <c r="AA652" s="62" t="str">
        <f t="shared" si="175"/>
        <v/>
      </c>
    </row>
    <row r="653" spans="3:27">
      <c r="C653" s="82"/>
      <c r="E653" s="30" t="str">
        <f t="shared" si="172"/>
        <v>00:00:00</v>
      </c>
      <c r="F653" s="36" t="str">
        <f t="shared" si="165"/>
        <v/>
      </c>
      <c r="G653" s="36">
        <f t="shared" si="166"/>
        <v>0</v>
      </c>
      <c r="H653" s="3" t="str">
        <f t="shared" si="167"/>
        <v/>
      </c>
      <c r="I653" s="3">
        <f t="shared" si="168"/>
        <v>0</v>
      </c>
      <c r="L653" s="35">
        <f t="shared" si="176"/>
        <v>1</v>
      </c>
      <c r="O653" s="27">
        <f t="shared" si="169"/>
        <v>0</v>
      </c>
      <c r="P653" s="3">
        <v>651</v>
      </c>
      <c r="Q653" s="3" t="e">
        <f t="shared" si="173"/>
        <v>#N/A</v>
      </c>
      <c r="R653" s="3" t="e">
        <f t="shared" si="174"/>
        <v>#N/A</v>
      </c>
      <c r="T653" s="46" t="str">
        <f t="shared" si="170"/>
        <v/>
      </c>
      <c r="U653" s="48" t="str">
        <f t="shared" si="171"/>
        <v/>
      </c>
      <c r="W653" s="56">
        <f t="shared" si="162"/>
        <v>0</v>
      </c>
      <c r="X653" s="57" t="str">
        <f t="shared" si="163"/>
        <v/>
      </c>
      <c r="Y653" s="58">
        <f t="shared" si="164"/>
        <v>0</v>
      </c>
      <c r="AA653" s="62" t="str">
        <f t="shared" si="175"/>
        <v/>
      </c>
    </row>
    <row r="654" spans="3:27">
      <c r="C654" s="82"/>
      <c r="E654" s="30" t="str">
        <f t="shared" si="172"/>
        <v>00:00:00</v>
      </c>
      <c r="F654" s="36" t="str">
        <f t="shared" si="165"/>
        <v/>
      </c>
      <c r="G654" s="36">
        <f t="shared" si="166"/>
        <v>0</v>
      </c>
      <c r="H654" s="3" t="str">
        <f t="shared" si="167"/>
        <v/>
      </c>
      <c r="I654" s="3">
        <f t="shared" si="168"/>
        <v>0</v>
      </c>
      <c r="L654" s="35">
        <f t="shared" si="176"/>
        <v>1</v>
      </c>
      <c r="O654" s="27">
        <f t="shared" si="169"/>
        <v>0</v>
      </c>
      <c r="P654" s="3">
        <v>652</v>
      </c>
      <c r="Q654" s="3" t="e">
        <f t="shared" si="173"/>
        <v>#N/A</v>
      </c>
      <c r="R654" s="3" t="e">
        <f t="shared" si="174"/>
        <v>#N/A</v>
      </c>
      <c r="T654" s="46" t="str">
        <f t="shared" si="170"/>
        <v/>
      </c>
      <c r="U654" s="48" t="str">
        <f t="shared" si="171"/>
        <v/>
      </c>
      <c r="W654" s="56">
        <f t="shared" si="162"/>
        <v>0</v>
      </c>
      <c r="X654" s="57" t="str">
        <f t="shared" si="163"/>
        <v/>
      </c>
      <c r="Y654" s="58">
        <f t="shared" si="164"/>
        <v>0</v>
      </c>
      <c r="AA654" s="62" t="str">
        <f t="shared" si="175"/>
        <v/>
      </c>
    </row>
    <row r="655" spans="3:27">
      <c r="C655" s="82"/>
      <c r="E655" s="30" t="str">
        <f t="shared" si="172"/>
        <v>00:00:00</v>
      </c>
      <c r="F655" s="36" t="str">
        <f t="shared" si="165"/>
        <v/>
      </c>
      <c r="G655" s="36">
        <f t="shared" si="166"/>
        <v>0</v>
      </c>
      <c r="H655" s="3" t="str">
        <f t="shared" si="167"/>
        <v/>
      </c>
      <c r="I655" s="3">
        <f t="shared" si="168"/>
        <v>0</v>
      </c>
      <c r="L655" s="35">
        <f t="shared" si="176"/>
        <v>1</v>
      </c>
      <c r="O655" s="27">
        <f t="shared" si="169"/>
        <v>0</v>
      </c>
      <c r="P655" s="3">
        <v>653</v>
      </c>
      <c r="Q655" s="3" t="e">
        <f t="shared" si="173"/>
        <v>#N/A</v>
      </c>
      <c r="R655" s="3" t="e">
        <f t="shared" si="174"/>
        <v>#N/A</v>
      </c>
      <c r="T655" s="46" t="str">
        <f t="shared" si="170"/>
        <v/>
      </c>
      <c r="U655" s="48" t="str">
        <f t="shared" si="171"/>
        <v/>
      </c>
      <c r="W655" s="56">
        <f t="shared" si="162"/>
        <v>0</v>
      </c>
      <c r="X655" s="57" t="str">
        <f t="shared" si="163"/>
        <v/>
      </c>
      <c r="Y655" s="58">
        <f t="shared" si="164"/>
        <v>0</v>
      </c>
      <c r="AA655" s="62" t="str">
        <f t="shared" si="175"/>
        <v/>
      </c>
    </row>
    <row r="656" spans="3:27">
      <c r="C656" s="82"/>
      <c r="E656" s="30" t="str">
        <f t="shared" si="172"/>
        <v>00:00:00</v>
      </c>
      <c r="F656" s="36" t="str">
        <f t="shared" si="165"/>
        <v/>
      </c>
      <c r="G656" s="36">
        <f t="shared" si="166"/>
        <v>0</v>
      </c>
      <c r="H656" s="3" t="str">
        <f t="shared" si="167"/>
        <v/>
      </c>
      <c r="I656" s="3">
        <f t="shared" si="168"/>
        <v>0</v>
      </c>
      <c r="L656" s="35">
        <f t="shared" si="176"/>
        <v>1</v>
      </c>
      <c r="O656" s="27">
        <f t="shared" si="169"/>
        <v>0</v>
      </c>
      <c r="P656" s="3">
        <v>654</v>
      </c>
      <c r="Q656" s="3" t="e">
        <f t="shared" si="173"/>
        <v>#N/A</v>
      </c>
      <c r="R656" s="3" t="e">
        <f t="shared" si="174"/>
        <v>#N/A</v>
      </c>
      <c r="T656" s="46" t="str">
        <f t="shared" si="170"/>
        <v/>
      </c>
      <c r="U656" s="48" t="str">
        <f t="shared" si="171"/>
        <v/>
      </c>
      <c r="W656" s="56">
        <f t="shared" si="162"/>
        <v>0</v>
      </c>
      <c r="X656" s="57" t="str">
        <f t="shared" si="163"/>
        <v/>
      </c>
      <c r="Y656" s="58">
        <f t="shared" si="164"/>
        <v>0</v>
      </c>
      <c r="AA656" s="62" t="str">
        <f t="shared" si="175"/>
        <v/>
      </c>
    </row>
    <row r="657" spans="3:27">
      <c r="C657" s="82"/>
      <c r="E657" s="30" t="str">
        <f t="shared" si="172"/>
        <v>00:00:00</v>
      </c>
      <c r="F657" s="36" t="str">
        <f t="shared" si="165"/>
        <v/>
      </c>
      <c r="G657" s="36">
        <f t="shared" si="166"/>
        <v>0</v>
      </c>
      <c r="H657" s="3" t="str">
        <f t="shared" si="167"/>
        <v/>
      </c>
      <c r="I657" s="3">
        <f t="shared" si="168"/>
        <v>0</v>
      </c>
      <c r="L657" s="35">
        <f t="shared" si="176"/>
        <v>1</v>
      </c>
      <c r="O657" s="27">
        <f t="shared" si="169"/>
        <v>0</v>
      </c>
      <c r="P657" s="3">
        <v>655</v>
      </c>
      <c r="Q657" s="3" t="e">
        <f t="shared" si="173"/>
        <v>#N/A</v>
      </c>
      <c r="R657" s="3" t="e">
        <f t="shared" si="174"/>
        <v>#N/A</v>
      </c>
      <c r="T657" s="46" t="str">
        <f t="shared" si="170"/>
        <v/>
      </c>
      <c r="U657" s="48" t="str">
        <f t="shared" si="171"/>
        <v/>
      </c>
      <c r="W657" s="56">
        <f t="shared" si="162"/>
        <v>0</v>
      </c>
      <c r="X657" s="57" t="str">
        <f t="shared" si="163"/>
        <v/>
      </c>
      <c r="Y657" s="58">
        <f t="shared" si="164"/>
        <v>0</v>
      </c>
      <c r="AA657" s="62" t="str">
        <f t="shared" si="175"/>
        <v/>
      </c>
    </row>
    <row r="658" spans="3:27">
      <c r="C658" s="82"/>
      <c r="E658" s="30" t="str">
        <f t="shared" si="172"/>
        <v>00:00:00</v>
      </c>
      <c r="F658" s="36" t="str">
        <f t="shared" si="165"/>
        <v/>
      </c>
      <c r="G658" s="36">
        <f t="shared" si="166"/>
        <v>0</v>
      </c>
      <c r="H658" s="3" t="str">
        <f t="shared" si="167"/>
        <v/>
      </c>
      <c r="I658" s="3">
        <f t="shared" si="168"/>
        <v>0</v>
      </c>
      <c r="L658" s="35">
        <f t="shared" si="176"/>
        <v>1</v>
      </c>
      <c r="O658" s="27">
        <f t="shared" si="169"/>
        <v>0</v>
      </c>
      <c r="P658" s="3">
        <v>656</v>
      </c>
      <c r="Q658" s="3" t="e">
        <f t="shared" si="173"/>
        <v>#N/A</v>
      </c>
      <c r="R658" s="3" t="e">
        <f t="shared" si="174"/>
        <v>#N/A</v>
      </c>
      <c r="T658" s="46" t="str">
        <f t="shared" si="170"/>
        <v/>
      </c>
      <c r="U658" s="48" t="str">
        <f t="shared" si="171"/>
        <v/>
      </c>
      <c r="W658" s="56">
        <f t="shared" si="162"/>
        <v>0</v>
      </c>
      <c r="X658" s="57" t="str">
        <f t="shared" si="163"/>
        <v/>
      </c>
      <c r="Y658" s="58">
        <f t="shared" si="164"/>
        <v>0</v>
      </c>
      <c r="AA658" s="62" t="str">
        <f t="shared" si="175"/>
        <v/>
      </c>
    </row>
    <row r="659" spans="3:27">
      <c r="C659" s="82"/>
      <c r="E659" s="30" t="str">
        <f t="shared" si="172"/>
        <v>00:00:00</v>
      </c>
      <c r="F659" s="36" t="str">
        <f t="shared" si="165"/>
        <v/>
      </c>
      <c r="G659" s="36">
        <f t="shared" si="166"/>
        <v>0</v>
      </c>
      <c r="H659" s="3" t="str">
        <f t="shared" si="167"/>
        <v/>
      </c>
      <c r="I659" s="3">
        <f t="shared" si="168"/>
        <v>0</v>
      </c>
      <c r="L659" s="35">
        <f t="shared" si="176"/>
        <v>1</v>
      </c>
      <c r="O659" s="27">
        <f t="shared" si="169"/>
        <v>0</v>
      </c>
      <c r="P659" s="3">
        <v>657</v>
      </c>
      <c r="Q659" s="3" t="e">
        <f t="shared" si="173"/>
        <v>#N/A</v>
      </c>
      <c r="R659" s="3" t="e">
        <f t="shared" si="174"/>
        <v>#N/A</v>
      </c>
      <c r="T659" s="46" t="str">
        <f t="shared" si="170"/>
        <v/>
      </c>
      <c r="U659" s="48" t="str">
        <f t="shared" si="171"/>
        <v/>
      </c>
      <c r="W659" s="56">
        <f t="shared" si="162"/>
        <v>0</v>
      </c>
      <c r="X659" s="57" t="str">
        <f t="shared" si="163"/>
        <v/>
      </c>
      <c r="Y659" s="58">
        <f t="shared" si="164"/>
        <v>0</v>
      </c>
      <c r="AA659" s="62" t="str">
        <f t="shared" si="175"/>
        <v/>
      </c>
    </row>
    <row r="660" spans="3:27">
      <c r="C660" s="82"/>
      <c r="E660" s="30" t="str">
        <f t="shared" si="172"/>
        <v>00:00:00</v>
      </c>
      <c r="F660" s="36" t="str">
        <f t="shared" si="165"/>
        <v/>
      </c>
      <c r="G660" s="36">
        <f t="shared" si="166"/>
        <v>0</v>
      </c>
      <c r="H660" s="3" t="str">
        <f t="shared" si="167"/>
        <v/>
      </c>
      <c r="I660" s="3">
        <f t="shared" si="168"/>
        <v>0</v>
      </c>
      <c r="L660" s="35">
        <f t="shared" si="176"/>
        <v>1</v>
      </c>
      <c r="O660" s="27">
        <f t="shared" si="169"/>
        <v>0</v>
      </c>
      <c r="P660" s="3">
        <v>658</v>
      </c>
      <c r="Q660" s="3" t="e">
        <f t="shared" si="173"/>
        <v>#N/A</v>
      </c>
      <c r="R660" s="3" t="e">
        <f t="shared" si="174"/>
        <v>#N/A</v>
      </c>
      <c r="T660" s="46" t="str">
        <f t="shared" si="170"/>
        <v/>
      </c>
      <c r="U660" s="48" t="str">
        <f t="shared" si="171"/>
        <v/>
      </c>
      <c r="W660" s="56">
        <f t="shared" si="162"/>
        <v>0</v>
      </c>
      <c r="X660" s="57" t="str">
        <f t="shared" si="163"/>
        <v/>
      </c>
      <c r="Y660" s="58">
        <f t="shared" si="164"/>
        <v>0</v>
      </c>
      <c r="AA660" s="62" t="str">
        <f t="shared" si="175"/>
        <v/>
      </c>
    </row>
    <row r="661" spans="3:27">
      <c r="C661" s="82"/>
      <c r="E661" s="30" t="str">
        <f t="shared" si="172"/>
        <v>00:00:00</v>
      </c>
      <c r="F661" s="36" t="str">
        <f t="shared" si="165"/>
        <v/>
      </c>
      <c r="G661" s="36">
        <f t="shared" si="166"/>
        <v>0</v>
      </c>
      <c r="H661" s="3" t="str">
        <f t="shared" si="167"/>
        <v/>
      </c>
      <c r="I661" s="3">
        <f t="shared" si="168"/>
        <v>0</v>
      </c>
      <c r="L661" s="35">
        <f t="shared" si="176"/>
        <v>1</v>
      </c>
      <c r="O661" s="27">
        <f t="shared" si="169"/>
        <v>0</v>
      </c>
      <c r="P661" s="3">
        <v>659</v>
      </c>
      <c r="Q661" s="3" t="e">
        <f t="shared" si="173"/>
        <v>#N/A</v>
      </c>
      <c r="R661" s="3" t="e">
        <f t="shared" si="174"/>
        <v>#N/A</v>
      </c>
      <c r="T661" s="46" t="str">
        <f t="shared" si="170"/>
        <v/>
      </c>
      <c r="U661" s="48" t="str">
        <f t="shared" si="171"/>
        <v/>
      </c>
      <c r="W661" s="56">
        <f t="shared" si="162"/>
        <v>0</v>
      </c>
      <c r="X661" s="57" t="str">
        <f t="shared" si="163"/>
        <v/>
      </c>
      <c r="Y661" s="58">
        <f t="shared" si="164"/>
        <v>0</v>
      </c>
      <c r="AA661" s="62" t="str">
        <f t="shared" si="175"/>
        <v/>
      </c>
    </row>
    <row r="662" spans="3:27">
      <c r="C662" s="82"/>
      <c r="E662" s="30" t="str">
        <f t="shared" si="172"/>
        <v>00:00:00</v>
      </c>
      <c r="F662" s="36" t="str">
        <f t="shared" si="165"/>
        <v/>
      </c>
      <c r="G662" s="36">
        <f t="shared" si="166"/>
        <v>0</v>
      </c>
      <c r="H662" s="3" t="str">
        <f t="shared" si="167"/>
        <v/>
      </c>
      <c r="I662" s="3">
        <f t="shared" si="168"/>
        <v>0</v>
      </c>
      <c r="L662" s="35">
        <f t="shared" si="176"/>
        <v>1</v>
      </c>
      <c r="O662" s="27">
        <f t="shared" si="169"/>
        <v>0</v>
      </c>
      <c r="P662" s="3">
        <v>660</v>
      </c>
      <c r="Q662" s="3" t="e">
        <f t="shared" si="173"/>
        <v>#N/A</v>
      </c>
      <c r="R662" s="3" t="e">
        <f t="shared" si="174"/>
        <v>#N/A</v>
      </c>
      <c r="T662" s="46" t="str">
        <f t="shared" si="170"/>
        <v/>
      </c>
      <c r="U662" s="48" t="str">
        <f t="shared" si="171"/>
        <v/>
      </c>
      <c r="W662" s="56">
        <f t="shared" si="162"/>
        <v>0</v>
      </c>
      <c r="X662" s="57" t="str">
        <f t="shared" si="163"/>
        <v/>
      </c>
      <c r="Y662" s="58">
        <f t="shared" si="164"/>
        <v>0</v>
      </c>
      <c r="AA662" s="62" t="str">
        <f t="shared" si="175"/>
        <v/>
      </c>
    </row>
    <row r="663" spans="3:27">
      <c r="C663" s="82"/>
      <c r="E663" s="30" t="str">
        <f t="shared" si="172"/>
        <v>00:00:00</v>
      </c>
      <c r="F663" s="36" t="str">
        <f t="shared" si="165"/>
        <v/>
      </c>
      <c r="G663" s="36">
        <f t="shared" si="166"/>
        <v>0</v>
      </c>
      <c r="H663" s="3" t="str">
        <f t="shared" si="167"/>
        <v/>
      </c>
      <c r="I663" s="3">
        <f t="shared" si="168"/>
        <v>0</v>
      </c>
      <c r="L663" s="35">
        <f t="shared" si="176"/>
        <v>1</v>
      </c>
      <c r="O663" s="27">
        <f t="shared" si="169"/>
        <v>0</v>
      </c>
      <c r="P663" s="3">
        <v>661</v>
      </c>
      <c r="Q663" s="3" t="e">
        <f t="shared" si="173"/>
        <v>#N/A</v>
      </c>
      <c r="R663" s="3" t="e">
        <f t="shared" si="174"/>
        <v>#N/A</v>
      </c>
      <c r="T663" s="46" t="str">
        <f t="shared" si="170"/>
        <v/>
      </c>
      <c r="U663" s="48" t="str">
        <f t="shared" si="171"/>
        <v/>
      </c>
      <c r="W663" s="56">
        <f t="shared" si="162"/>
        <v>0</v>
      </c>
      <c r="X663" s="57" t="str">
        <f t="shared" si="163"/>
        <v/>
      </c>
      <c r="Y663" s="58">
        <f t="shared" si="164"/>
        <v>0</v>
      </c>
      <c r="AA663" s="62" t="str">
        <f t="shared" si="175"/>
        <v/>
      </c>
    </row>
    <row r="664" spans="3:27">
      <c r="C664" s="82"/>
      <c r="E664" s="30" t="str">
        <f t="shared" si="172"/>
        <v>00:00:00</v>
      </c>
      <c r="F664" s="36" t="str">
        <f t="shared" si="165"/>
        <v/>
      </c>
      <c r="G664" s="36">
        <f t="shared" si="166"/>
        <v>0</v>
      </c>
      <c r="H664" s="3" t="str">
        <f t="shared" si="167"/>
        <v/>
      </c>
      <c r="I664" s="3">
        <f t="shared" si="168"/>
        <v>0</v>
      </c>
      <c r="L664" s="35">
        <f t="shared" si="176"/>
        <v>1</v>
      </c>
      <c r="O664" s="27">
        <f t="shared" si="169"/>
        <v>0</v>
      </c>
      <c r="P664" s="3">
        <v>662</v>
      </c>
      <c r="Q664" s="3" t="e">
        <f t="shared" si="173"/>
        <v>#N/A</v>
      </c>
      <c r="R664" s="3" t="e">
        <f t="shared" si="174"/>
        <v>#N/A</v>
      </c>
      <c r="T664" s="46" t="str">
        <f t="shared" si="170"/>
        <v/>
      </c>
      <c r="U664" s="48" t="str">
        <f t="shared" si="171"/>
        <v/>
      </c>
      <c r="W664" s="56">
        <f t="shared" si="162"/>
        <v>0</v>
      </c>
      <c r="X664" s="57" t="str">
        <f t="shared" si="163"/>
        <v/>
      </c>
      <c r="Y664" s="58">
        <f t="shared" si="164"/>
        <v>0</v>
      </c>
      <c r="AA664" s="62" t="str">
        <f t="shared" si="175"/>
        <v/>
      </c>
    </row>
    <row r="665" spans="3:27">
      <c r="C665" s="82"/>
      <c r="E665" s="30" t="str">
        <f t="shared" si="172"/>
        <v>00:00:00</v>
      </c>
      <c r="F665" s="36" t="str">
        <f t="shared" si="165"/>
        <v/>
      </c>
      <c r="G665" s="36">
        <f t="shared" si="166"/>
        <v>0</v>
      </c>
      <c r="H665" s="3" t="str">
        <f t="shared" si="167"/>
        <v/>
      </c>
      <c r="I665" s="3">
        <f t="shared" si="168"/>
        <v>0</v>
      </c>
      <c r="L665" s="35">
        <f t="shared" si="176"/>
        <v>1</v>
      </c>
      <c r="O665" s="27">
        <f t="shared" si="169"/>
        <v>0</v>
      </c>
      <c r="P665" s="3">
        <v>663</v>
      </c>
      <c r="Q665" s="3" t="e">
        <f t="shared" si="173"/>
        <v>#N/A</v>
      </c>
      <c r="R665" s="3" t="e">
        <f t="shared" si="174"/>
        <v>#N/A</v>
      </c>
      <c r="T665" s="46" t="str">
        <f t="shared" si="170"/>
        <v/>
      </c>
      <c r="U665" s="48" t="str">
        <f t="shared" si="171"/>
        <v/>
      </c>
      <c r="W665" s="56">
        <f t="shared" si="162"/>
        <v>0</v>
      </c>
      <c r="X665" s="57" t="str">
        <f t="shared" si="163"/>
        <v/>
      </c>
      <c r="Y665" s="58">
        <f t="shared" si="164"/>
        <v>0</v>
      </c>
      <c r="AA665" s="62" t="str">
        <f t="shared" si="175"/>
        <v/>
      </c>
    </row>
    <row r="666" spans="3:27">
      <c r="C666" s="82"/>
      <c r="E666" s="30" t="str">
        <f t="shared" si="172"/>
        <v>00:00:00</v>
      </c>
      <c r="F666" s="36" t="str">
        <f t="shared" si="165"/>
        <v/>
      </c>
      <c r="G666" s="36">
        <f t="shared" si="166"/>
        <v>0</v>
      </c>
      <c r="H666" s="3" t="str">
        <f t="shared" si="167"/>
        <v/>
      </c>
      <c r="I666" s="3">
        <f t="shared" si="168"/>
        <v>0</v>
      </c>
      <c r="L666" s="35">
        <f t="shared" si="176"/>
        <v>1</v>
      </c>
      <c r="O666" s="27">
        <f t="shared" si="169"/>
        <v>0</v>
      </c>
      <c r="P666" s="3">
        <v>664</v>
      </c>
      <c r="Q666" s="3" t="e">
        <f t="shared" si="173"/>
        <v>#N/A</v>
      </c>
      <c r="R666" s="3" t="e">
        <f t="shared" si="174"/>
        <v>#N/A</v>
      </c>
      <c r="T666" s="46" t="str">
        <f t="shared" si="170"/>
        <v/>
      </c>
      <c r="U666" s="48" t="str">
        <f t="shared" si="171"/>
        <v/>
      </c>
      <c r="W666" s="56">
        <f t="shared" si="162"/>
        <v>0</v>
      </c>
      <c r="X666" s="57" t="str">
        <f t="shared" si="163"/>
        <v/>
      </c>
      <c r="Y666" s="58">
        <f t="shared" si="164"/>
        <v>0</v>
      </c>
      <c r="AA666" s="62" t="str">
        <f t="shared" si="175"/>
        <v/>
      </c>
    </row>
    <row r="667" spans="3:27">
      <c r="C667" s="82"/>
      <c r="E667" s="30" t="str">
        <f t="shared" si="172"/>
        <v>00:00:00</v>
      </c>
      <c r="F667" s="36" t="str">
        <f t="shared" si="165"/>
        <v/>
      </c>
      <c r="G667" s="36">
        <f t="shared" si="166"/>
        <v>0</v>
      </c>
      <c r="H667" s="3" t="str">
        <f t="shared" si="167"/>
        <v/>
      </c>
      <c r="I667" s="3">
        <f t="shared" si="168"/>
        <v>0</v>
      </c>
      <c r="L667" s="35">
        <f t="shared" si="176"/>
        <v>1</v>
      </c>
      <c r="O667" s="27">
        <f t="shared" si="169"/>
        <v>0</v>
      </c>
      <c r="P667" s="3">
        <v>665</v>
      </c>
      <c r="Q667" s="3" t="e">
        <f t="shared" si="173"/>
        <v>#N/A</v>
      </c>
      <c r="R667" s="3" t="e">
        <f t="shared" si="174"/>
        <v>#N/A</v>
      </c>
      <c r="T667" s="46" t="str">
        <f t="shared" si="170"/>
        <v/>
      </c>
      <c r="U667" s="48" t="str">
        <f t="shared" si="171"/>
        <v/>
      </c>
      <c r="W667" s="56">
        <f t="shared" si="162"/>
        <v>0</v>
      </c>
      <c r="X667" s="57" t="str">
        <f t="shared" si="163"/>
        <v/>
      </c>
      <c r="Y667" s="58">
        <f t="shared" si="164"/>
        <v>0</v>
      </c>
      <c r="AA667" s="62" t="str">
        <f t="shared" si="175"/>
        <v/>
      </c>
    </row>
    <row r="668" spans="3:27">
      <c r="C668" s="82"/>
      <c r="E668" s="30" t="str">
        <f t="shared" si="172"/>
        <v>00:00:00</v>
      </c>
      <c r="F668" s="36" t="str">
        <f t="shared" si="165"/>
        <v/>
      </c>
      <c r="G668" s="36">
        <f t="shared" si="166"/>
        <v>0</v>
      </c>
      <c r="H668" s="3" t="str">
        <f t="shared" si="167"/>
        <v/>
      </c>
      <c r="I668" s="3">
        <f t="shared" si="168"/>
        <v>0</v>
      </c>
      <c r="L668" s="35">
        <f t="shared" si="176"/>
        <v>1</v>
      </c>
      <c r="O668" s="27">
        <f t="shared" si="169"/>
        <v>0</v>
      </c>
      <c r="P668" s="3">
        <v>666</v>
      </c>
      <c r="Q668" s="3" t="e">
        <f t="shared" si="173"/>
        <v>#N/A</v>
      </c>
      <c r="R668" s="3" t="e">
        <f t="shared" si="174"/>
        <v>#N/A</v>
      </c>
      <c r="T668" s="46" t="str">
        <f t="shared" si="170"/>
        <v/>
      </c>
      <c r="U668" s="48" t="str">
        <f t="shared" si="171"/>
        <v/>
      </c>
      <c r="W668" s="56">
        <f t="shared" si="162"/>
        <v>0</v>
      </c>
      <c r="X668" s="57" t="str">
        <f t="shared" si="163"/>
        <v/>
      </c>
      <c r="Y668" s="58">
        <f t="shared" si="164"/>
        <v>0</v>
      </c>
      <c r="AA668" s="62" t="str">
        <f t="shared" si="175"/>
        <v/>
      </c>
    </row>
    <row r="669" spans="3:27">
      <c r="C669" s="82"/>
      <c r="E669" s="30" t="str">
        <f t="shared" si="172"/>
        <v>00:00:00</v>
      </c>
      <c r="F669" s="36" t="str">
        <f t="shared" si="165"/>
        <v/>
      </c>
      <c r="G669" s="36">
        <f t="shared" si="166"/>
        <v>0</v>
      </c>
      <c r="H669" s="3" t="str">
        <f t="shared" si="167"/>
        <v/>
      </c>
      <c r="I669" s="3">
        <f t="shared" si="168"/>
        <v>0</v>
      </c>
      <c r="L669" s="35">
        <f t="shared" si="176"/>
        <v>1</v>
      </c>
      <c r="O669" s="27">
        <f t="shared" si="169"/>
        <v>0</v>
      </c>
      <c r="P669" s="3">
        <v>667</v>
      </c>
      <c r="Q669" s="3" t="e">
        <f t="shared" si="173"/>
        <v>#N/A</v>
      </c>
      <c r="R669" s="3" t="e">
        <f t="shared" si="174"/>
        <v>#N/A</v>
      </c>
      <c r="T669" s="46" t="str">
        <f t="shared" si="170"/>
        <v/>
      </c>
      <c r="U669" s="48" t="str">
        <f t="shared" si="171"/>
        <v/>
      </c>
      <c r="W669" s="56">
        <f t="shared" si="162"/>
        <v>0</v>
      </c>
      <c r="X669" s="57" t="str">
        <f t="shared" si="163"/>
        <v/>
      </c>
      <c r="Y669" s="58">
        <f t="shared" si="164"/>
        <v>0</v>
      </c>
      <c r="AA669" s="62" t="str">
        <f t="shared" si="175"/>
        <v/>
      </c>
    </row>
    <row r="670" spans="3:27">
      <c r="C670" s="82"/>
      <c r="E670" s="30" t="str">
        <f t="shared" si="172"/>
        <v>00:00:00</v>
      </c>
      <c r="F670" s="36" t="str">
        <f t="shared" si="165"/>
        <v/>
      </c>
      <c r="G670" s="36">
        <f t="shared" si="166"/>
        <v>0</v>
      </c>
      <c r="H670" s="3" t="str">
        <f t="shared" si="167"/>
        <v/>
      </c>
      <c r="I670" s="3">
        <f t="shared" si="168"/>
        <v>0</v>
      </c>
      <c r="L670" s="35">
        <f t="shared" si="176"/>
        <v>1</v>
      </c>
      <c r="O670" s="27">
        <f t="shared" si="169"/>
        <v>0</v>
      </c>
      <c r="P670" s="3">
        <v>668</v>
      </c>
      <c r="Q670" s="3" t="e">
        <f t="shared" si="173"/>
        <v>#N/A</v>
      </c>
      <c r="R670" s="3" t="e">
        <f t="shared" si="174"/>
        <v>#N/A</v>
      </c>
      <c r="T670" s="46" t="str">
        <f t="shared" si="170"/>
        <v/>
      </c>
      <c r="U670" s="48" t="str">
        <f t="shared" si="171"/>
        <v/>
      </c>
      <c r="W670" s="56">
        <f t="shared" si="162"/>
        <v>0</v>
      </c>
      <c r="X670" s="57" t="str">
        <f t="shared" si="163"/>
        <v/>
      </c>
      <c r="Y670" s="58">
        <f t="shared" si="164"/>
        <v>0</v>
      </c>
      <c r="AA670" s="62" t="str">
        <f t="shared" si="175"/>
        <v/>
      </c>
    </row>
    <row r="671" spans="3:27">
      <c r="C671" s="82"/>
      <c r="E671" s="30" t="str">
        <f t="shared" si="172"/>
        <v>00:00:00</v>
      </c>
      <c r="F671" s="36" t="str">
        <f t="shared" si="165"/>
        <v/>
      </c>
      <c r="G671" s="36">
        <f t="shared" si="166"/>
        <v>0</v>
      </c>
      <c r="H671" s="3" t="str">
        <f t="shared" si="167"/>
        <v/>
      </c>
      <c r="I671" s="3">
        <f t="shared" si="168"/>
        <v>0</v>
      </c>
      <c r="L671" s="35">
        <f t="shared" si="176"/>
        <v>1</v>
      </c>
      <c r="O671" s="27">
        <f t="shared" si="169"/>
        <v>0</v>
      </c>
      <c r="P671" s="3">
        <v>669</v>
      </c>
      <c r="Q671" s="3" t="e">
        <f t="shared" si="173"/>
        <v>#N/A</v>
      </c>
      <c r="R671" s="3" t="e">
        <f t="shared" si="174"/>
        <v>#N/A</v>
      </c>
      <c r="T671" s="46" t="str">
        <f t="shared" si="170"/>
        <v/>
      </c>
      <c r="U671" s="48" t="str">
        <f t="shared" si="171"/>
        <v/>
      </c>
      <c r="W671" s="56">
        <f t="shared" si="162"/>
        <v>0</v>
      </c>
      <c r="X671" s="57" t="str">
        <f t="shared" si="163"/>
        <v/>
      </c>
      <c r="Y671" s="58">
        <f t="shared" si="164"/>
        <v>0</v>
      </c>
      <c r="AA671" s="62" t="str">
        <f t="shared" si="175"/>
        <v/>
      </c>
    </row>
    <row r="672" spans="3:27">
      <c r="C672" s="82"/>
      <c r="E672" s="30" t="str">
        <f t="shared" si="172"/>
        <v>00:00:00</v>
      </c>
      <c r="F672" s="36" t="str">
        <f t="shared" si="165"/>
        <v/>
      </c>
      <c r="G672" s="36">
        <f t="shared" si="166"/>
        <v>0</v>
      </c>
      <c r="H672" s="3" t="str">
        <f t="shared" si="167"/>
        <v/>
      </c>
      <c r="I672" s="3">
        <f t="shared" si="168"/>
        <v>0</v>
      </c>
      <c r="L672" s="35">
        <f t="shared" si="176"/>
        <v>1</v>
      </c>
      <c r="O672" s="27">
        <f t="shared" si="169"/>
        <v>0</v>
      </c>
      <c r="P672" s="3">
        <v>670</v>
      </c>
      <c r="Q672" s="3" t="e">
        <f t="shared" si="173"/>
        <v>#N/A</v>
      </c>
      <c r="R672" s="3" t="e">
        <f t="shared" si="174"/>
        <v>#N/A</v>
      </c>
      <c r="T672" s="46" t="str">
        <f t="shared" si="170"/>
        <v/>
      </c>
      <c r="U672" s="48" t="str">
        <f t="shared" si="171"/>
        <v/>
      </c>
      <c r="W672" s="56">
        <f t="shared" si="162"/>
        <v>0</v>
      </c>
      <c r="X672" s="57" t="str">
        <f t="shared" si="163"/>
        <v/>
      </c>
      <c r="Y672" s="58">
        <f t="shared" si="164"/>
        <v>0</v>
      </c>
      <c r="AA672" s="62" t="str">
        <f t="shared" si="175"/>
        <v/>
      </c>
    </row>
    <row r="673" spans="3:27">
      <c r="C673" s="82"/>
      <c r="E673" s="30" t="str">
        <f t="shared" si="172"/>
        <v>00:00:00</v>
      </c>
      <c r="F673" s="36" t="str">
        <f t="shared" si="165"/>
        <v/>
      </c>
      <c r="G673" s="36">
        <f t="shared" si="166"/>
        <v>0</v>
      </c>
      <c r="H673" s="3" t="str">
        <f t="shared" si="167"/>
        <v/>
      </c>
      <c r="I673" s="3">
        <f t="shared" si="168"/>
        <v>0</v>
      </c>
      <c r="L673" s="35">
        <f t="shared" si="176"/>
        <v>1</v>
      </c>
      <c r="O673" s="27">
        <f t="shared" si="169"/>
        <v>0</v>
      </c>
      <c r="P673" s="3">
        <v>671</v>
      </c>
      <c r="Q673" s="3" t="e">
        <f t="shared" si="173"/>
        <v>#N/A</v>
      </c>
      <c r="R673" s="3" t="e">
        <f t="shared" si="174"/>
        <v>#N/A</v>
      </c>
      <c r="T673" s="46" t="str">
        <f t="shared" si="170"/>
        <v/>
      </c>
      <c r="U673" s="48" t="str">
        <f t="shared" si="171"/>
        <v/>
      </c>
      <c r="W673" s="56">
        <f t="shared" si="162"/>
        <v>0</v>
      </c>
      <c r="X673" s="57" t="str">
        <f t="shared" si="163"/>
        <v/>
      </c>
      <c r="Y673" s="58">
        <f t="shared" si="164"/>
        <v>0</v>
      </c>
      <c r="AA673" s="62" t="str">
        <f t="shared" si="175"/>
        <v/>
      </c>
    </row>
    <row r="674" spans="3:27">
      <c r="C674" s="82"/>
      <c r="E674" s="30" t="str">
        <f t="shared" si="172"/>
        <v>00:00:00</v>
      </c>
      <c r="F674" s="36" t="str">
        <f t="shared" si="165"/>
        <v/>
      </c>
      <c r="G674" s="36">
        <f t="shared" si="166"/>
        <v>0</v>
      </c>
      <c r="H674" s="3" t="str">
        <f t="shared" si="167"/>
        <v/>
      </c>
      <c r="I674" s="3">
        <f t="shared" si="168"/>
        <v>0</v>
      </c>
      <c r="L674" s="35">
        <f t="shared" si="176"/>
        <v>1</v>
      </c>
      <c r="O674" s="27">
        <f t="shared" si="169"/>
        <v>0</v>
      </c>
      <c r="P674" s="3">
        <v>672</v>
      </c>
      <c r="Q674" s="3" t="e">
        <f t="shared" si="173"/>
        <v>#N/A</v>
      </c>
      <c r="R674" s="3" t="e">
        <f t="shared" si="174"/>
        <v>#N/A</v>
      </c>
      <c r="T674" s="46" t="str">
        <f t="shared" si="170"/>
        <v/>
      </c>
      <c r="U674" s="48" t="str">
        <f t="shared" si="171"/>
        <v/>
      </c>
      <c r="W674" s="56">
        <f t="shared" si="162"/>
        <v>0</v>
      </c>
      <c r="X674" s="57" t="str">
        <f t="shared" si="163"/>
        <v/>
      </c>
      <c r="Y674" s="58">
        <f t="shared" si="164"/>
        <v>0</v>
      </c>
      <c r="AA674" s="62" t="str">
        <f t="shared" si="175"/>
        <v/>
      </c>
    </row>
    <row r="675" spans="3:27">
      <c r="C675" s="82"/>
      <c r="E675" s="30" t="str">
        <f t="shared" si="172"/>
        <v>00:00:00</v>
      </c>
      <c r="F675" s="36" t="str">
        <f t="shared" si="165"/>
        <v/>
      </c>
      <c r="G675" s="36">
        <f t="shared" si="166"/>
        <v>0</v>
      </c>
      <c r="H675" s="3" t="str">
        <f t="shared" si="167"/>
        <v/>
      </c>
      <c r="I675" s="3">
        <f t="shared" si="168"/>
        <v>0</v>
      </c>
      <c r="L675" s="35">
        <f t="shared" si="176"/>
        <v>1</v>
      </c>
      <c r="O675" s="27">
        <f t="shared" si="169"/>
        <v>0</v>
      </c>
      <c r="P675" s="3">
        <v>673</v>
      </c>
      <c r="Q675" s="3" t="e">
        <f t="shared" si="173"/>
        <v>#N/A</v>
      </c>
      <c r="R675" s="3" t="e">
        <f t="shared" si="174"/>
        <v>#N/A</v>
      </c>
      <c r="T675" s="46" t="str">
        <f t="shared" si="170"/>
        <v/>
      </c>
      <c r="U675" s="48" t="str">
        <f t="shared" si="171"/>
        <v/>
      </c>
      <c r="W675" s="56">
        <f t="shared" si="162"/>
        <v>0</v>
      </c>
      <c r="X675" s="57" t="str">
        <f t="shared" si="163"/>
        <v/>
      </c>
      <c r="Y675" s="58">
        <f t="shared" si="164"/>
        <v>0</v>
      </c>
      <c r="AA675" s="62" t="str">
        <f t="shared" si="175"/>
        <v/>
      </c>
    </row>
    <row r="676" spans="3:27">
      <c r="C676" s="82"/>
      <c r="E676" s="30" t="str">
        <f t="shared" si="172"/>
        <v>00:00:00</v>
      </c>
      <c r="F676" s="36" t="str">
        <f t="shared" si="165"/>
        <v/>
      </c>
      <c r="G676" s="36">
        <f t="shared" si="166"/>
        <v>0</v>
      </c>
      <c r="H676" s="3" t="str">
        <f t="shared" si="167"/>
        <v/>
      </c>
      <c r="I676" s="3">
        <f t="shared" si="168"/>
        <v>0</v>
      </c>
      <c r="L676" s="35">
        <f t="shared" si="176"/>
        <v>1</v>
      </c>
      <c r="O676" s="27">
        <f t="shared" si="169"/>
        <v>0</v>
      </c>
      <c r="P676" s="3">
        <v>674</v>
      </c>
      <c r="Q676" s="3" t="e">
        <f t="shared" si="173"/>
        <v>#N/A</v>
      </c>
      <c r="R676" s="3" t="e">
        <f t="shared" si="174"/>
        <v>#N/A</v>
      </c>
      <c r="T676" s="46" t="str">
        <f t="shared" si="170"/>
        <v/>
      </c>
      <c r="U676" s="48" t="str">
        <f t="shared" si="171"/>
        <v/>
      </c>
      <c r="W676" s="56">
        <f t="shared" si="162"/>
        <v>0</v>
      </c>
      <c r="X676" s="57" t="str">
        <f t="shared" si="163"/>
        <v/>
      </c>
      <c r="Y676" s="58">
        <f t="shared" si="164"/>
        <v>0</v>
      </c>
      <c r="AA676" s="62" t="str">
        <f t="shared" si="175"/>
        <v/>
      </c>
    </row>
    <row r="677" spans="3:27">
      <c r="C677" s="82"/>
      <c r="E677" s="30" t="str">
        <f t="shared" si="172"/>
        <v>00:00:00</v>
      </c>
      <c r="F677" s="36" t="str">
        <f t="shared" si="165"/>
        <v/>
      </c>
      <c r="G677" s="36">
        <f t="shared" si="166"/>
        <v>0</v>
      </c>
      <c r="H677" s="3" t="str">
        <f t="shared" si="167"/>
        <v/>
      </c>
      <c r="I677" s="3">
        <f t="shared" si="168"/>
        <v>0</v>
      </c>
      <c r="L677" s="35">
        <f t="shared" si="176"/>
        <v>1</v>
      </c>
      <c r="O677" s="27">
        <f t="shared" si="169"/>
        <v>0</v>
      </c>
      <c r="P677" s="3">
        <v>675</v>
      </c>
      <c r="Q677" s="3" t="e">
        <f t="shared" si="173"/>
        <v>#N/A</v>
      </c>
      <c r="R677" s="3" t="e">
        <f t="shared" si="174"/>
        <v>#N/A</v>
      </c>
      <c r="T677" s="46" t="str">
        <f t="shared" si="170"/>
        <v/>
      </c>
      <c r="U677" s="48" t="str">
        <f t="shared" si="171"/>
        <v/>
      </c>
      <c r="W677" s="56">
        <f t="shared" si="162"/>
        <v>0</v>
      </c>
      <c r="X677" s="57" t="str">
        <f t="shared" si="163"/>
        <v/>
      </c>
      <c r="Y677" s="58">
        <f t="shared" si="164"/>
        <v>0</v>
      </c>
      <c r="AA677" s="62" t="str">
        <f t="shared" si="175"/>
        <v/>
      </c>
    </row>
    <row r="678" spans="3:27">
      <c r="C678" s="82"/>
      <c r="E678" s="30" t="str">
        <f t="shared" si="172"/>
        <v>00:00:00</v>
      </c>
      <c r="F678" s="36" t="str">
        <f t="shared" si="165"/>
        <v/>
      </c>
      <c r="G678" s="36">
        <f t="shared" si="166"/>
        <v>0</v>
      </c>
      <c r="H678" s="3" t="str">
        <f t="shared" si="167"/>
        <v/>
      </c>
      <c r="I678" s="3">
        <f t="shared" si="168"/>
        <v>0</v>
      </c>
      <c r="L678" s="35">
        <f t="shared" si="176"/>
        <v>1</v>
      </c>
      <c r="O678" s="27">
        <f t="shared" si="169"/>
        <v>0</v>
      </c>
      <c r="P678" s="3">
        <v>676</v>
      </c>
      <c r="Q678" s="3" t="e">
        <f t="shared" si="173"/>
        <v>#N/A</v>
      </c>
      <c r="R678" s="3" t="e">
        <f t="shared" si="174"/>
        <v>#N/A</v>
      </c>
      <c r="T678" s="46" t="str">
        <f t="shared" si="170"/>
        <v/>
      </c>
      <c r="U678" s="48" t="str">
        <f t="shared" si="171"/>
        <v/>
      </c>
      <c r="W678" s="56">
        <f t="shared" si="162"/>
        <v>0</v>
      </c>
      <c r="X678" s="57" t="str">
        <f t="shared" si="163"/>
        <v/>
      </c>
      <c r="Y678" s="58">
        <f t="shared" si="164"/>
        <v>0</v>
      </c>
      <c r="AA678" s="62" t="str">
        <f t="shared" si="175"/>
        <v/>
      </c>
    </row>
    <row r="679" spans="3:27">
      <c r="C679" s="82"/>
      <c r="E679" s="30" t="str">
        <f t="shared" si="172"/>
        <v>00:00:00</v>
      </c>
      <c r="F679" s="36" t="str">
        <f t="shared" si="165"/>
        <v/>
      </c>
      <c r="G679" s="36">
        <f t="shared" si="166"/>
        <v>0</v>
      </c>
      <c r="H679" s="3" t="str">
        <f t="shared" si="167"/>
        <v/>
      </c>
      <c r="I679" s="3">
        <f t="shared" si="168"/>
        <v>0</v>
      </c>
      <c r="L679" s="35">
        <f t="shared" si="176"/>
        <v>1</v>
      </c>
      <c r="O679" s="27">
        <f t="shared" si="169"/>
        <v>0</v>
      </c>
      <c r="P679" s="3">
        <v>677</v>
      </c>
      <c r="Q679" s="3" t="e">
        <f t="shared" si="173"/>
        <v>#N/A</v>
      </c>
      <c r="R679" s="3" t="e">
        <f t="shared" si="174"/>
        <v>#N/A</v>
      </c>
      <c r="T679" s="46" t="str">
        <f t="shared" si="170"/>
        <v/>
      </c>
      <c r="U679" s="48" t="str">
        <f t="shared" si="171"/>
        <v/>
      </c>
      <c r="W679" s="56">
        <f t="shared" si="162"/>
        <v>0</v>
      </c>
      <c r="X679" s="57" t="str">
        <f t="shared" si="163"/>
        <v/>
      </c>
      <c r="Y679" s="58">
        <f t="shared" si="164"/>
        <v>0</v>
      </c>
      <c r="AA679" s="62" t="str">
        <f t="shared" si="175"/>
        <v/>
      </c>
    </row>
    <row r="680" spans="3:27">
      <c r="C680" s="82"/>
      <c r="E680" s="30" t="str">
        <f t="shared" si="172"/>
        <v>00:00:00</v>
      </c>
      <c r="F680" s="36" t="str">
        <f t="shared" si="165"/>
        <v/>
      </c>
      <c r="G680" s="36">
        <f t="shared" si="166"/>
        <v>0</v>
      </c>
      <c r="H680" s="3" t="str">
        <f t="shared" si="167"/>
        <v/>
      </c>
      <c r="I680" s="3">
        <f t="shared" si="168"/>
        <v>0</v>
      </c>
      <c r="L680" s="35">
        <f t="shared" si="176"/>
        <v>1</v>
      </c>
      <c r="O680" s="27">
        <f t="shared" si="169"/>
        <v>0</v>
      </c>
      <c r="P680" s="3">
        <v>678</v>
      </c>
      <c r="Q680" s="3" t="e">
        <f t="shared" si="173"/>
        <v>#N/A</v>
      </c>
      <c r="R680" s="3" t="e">
        <f t="shared" si="174"/>
        <v>#N/A</v>
      </c>
      <c r="T680" s="46" t="str">
        <f t="shared" si="170"/>
        <v/>
      </c>
      <c r="U680" s="48" t="str">
        <f t="shared" si="171"/>
        <v/>
      </c>
      <c r="W680" s="56">
        <f t="shared" si="162"/>
        <v>0</v>
      </c>
      <c r="X680" s="57" t="str">
        <f t="shared" si="163"/>
        <v/>
      </c>
      <c r="Y680" s="58">
        <f t="shared" si="164"/>
        <v>0</v>
      </c>
      <c r="AA680" s="62" t="str">
        <f t="shared" si="175"/>
        <v/>
      </c>
    </row>
    <row r="681" spans="3:27">
      <c r="C681" s="82"/>
      <c r="E681" s="30" t="str">
        <f t="shared" si="172"/>
        <v>00:00:00</v>
      </c>
      <c r="F681" s="36" t="str">
        <f t="shared" si="165"/>
        <v/>
      </c>
      <c r="G681" s="36">
        <f t="shared" si="166"/>
        <v>0</v>
      </c>
      <c r="H681" s="3" t="str">
        <f t="shared" si="167"/>
        <v/>
      </c>
      <c r="I681" s="3">
        <f t="shared" si="168"/>
        <v>0</v>
      </c>
      <c r="L681" s="35">
        <f t="shared" si="176"/>
        <v>1</v>
      </c>
      <c r="O681" s="27">
        <f t="shared" si="169"/>
        <v>0</v>
      </c>
      <c r="P681" s="3">
        <v>679</v>
      </c>
      <c r="Q681" s="3" t="e">
        <f t="shared" si="173"/>
        <v>#N/A</v>
      </c>
      <c r="R681" s="3" t="e">
        <f t="shared" si="174"/>
        <v>#N/A</v>
      </c>
      <c r="T681" s="46" t="str">
        <f t="shared" si="170"/>
        <v/>
      </c>
      <c r="U681" s="48" t="str">
        <f t="shared" si="171"/>
        <v/>
      </c>
      <c r="W681" s="56">
        <f t="shared" si="162"/>
        <v>0</v>
      </c>
      <c r="X681" s="57" t="str">
        <f t="shared" si="163"/>
        <v/>
      </c>
      <c r="Y681" s="58">
        <f t="shared" si="164"/>
        <v>0</v>
      </c>
      <c r="AA681" s="62" t="str">
        <f t="shared" si="175"/>
        <v/>
      </c>
    </row>
    <row r="682" spans="3:27">
      <c r="C682" s="82"/>
      <c r="E682" s="30" t="str">
        <f t="shared" si="172"/>
        <v>00:00:00</v>
      </c>
      <c r="F682" s="36" t="str">
        <f t="shared" si="165"/>
        <v/>
      </c>
      <c r="G682" s="36">
        <f t="shared" si="166"/>
        <v>0</v>
      </c>
      <c r="H682" s="3" t="str">
        <f t="shared" si="167"/>
        <v/>
      </c>
      <c r="I682" s="3">
        <f t="shared" si="168"/>
        <v>0</v>
      </c>
      <c r="L682" s="35">
        <f t="shared" si="176"/>
        <v>1</v>
      </c>
      <c r="O682" s="27">
        <f t="shared" si="169"/>
        <v>0</v>
      </c>
      <c r="P682" s="3">
        <v>680</v>
      </c>
      <c r="Q682" s="3" t="e">
        <f t="shared" si="173"/>
        <v>#N/A</v>
      </c>
      <c r="R682" s="3" t="e">
        <f t="shared" si="174"/>
        <v>#N/A</v>
      </c>
      <c r="T682" s="46" t="str">
        <f t="shared" si="170"/>
        <v/>
      </c>
      <c r="U682" s="48" t="str">
        <f t="shared" si="171"/>
        <v/>
      </c>
      <c r="W682" s="56">
        <f t="shared" si="162"/>
        <v>0</v>
      </c>
      <c r="X682" s="57" t="str">
        <f t="shared" si="163"/>
        <v/>
      </c>
      <c r="Y682" s="58">
        <f t="shared" si="164"/>
        <v>0</v>
      </c>
      <c r="AA682" s="62" t="str">
        <f t="shared" si="175"/>
        <v/>
      </c>
    </row>
    <row r="683" spans="3:27">
      <c r="C683" s="82"/>
      <c r="E683" s="30" t="str">
        <f t="shared" si="172"/>
        <v>00:00:00</v>
      </c>
      <c r="F683" s="36" t="str">
        <f t="shared" si="165"/>
        <v/>
      </c>
      <c r="G683" s="36">
        <f t="shared" si="166"/>
        <v>0</v>
      </c>
      <c r="H683" s="3" t="str">
        <f t="shared" si="167"/>
        <v/>
      </c>
      <c r="I683" s="3">
        <f t="shared" si="168"/>
        <v>0</v>
      </c>
      <c r="L683" s="35">
        <f t="shared" si="176"/>
        <v>1</v>
      </c>
      <c r="O683" s="27">
        <f t="shared" si="169"/>
        <v>0</v>
      </c>
      <c r="P683" s="3">
        <v>681</v>
      </c>
      <c r="Q683" s="3" t="e">
        <f t="shared" si="173"/>
        <v>#N/A</v>
      </c>
      <c r="R683" s="3" t="e">
        <f t="shared" si="174"/>
        <v>#N/A</v>
      </c>
      <c r="T683" s="46" t="str">
        <f t="shared" si="170"/>
        <v/>
      </c>
      <c r="U683" s="48" t="str">
        <f t="shared" si="171"/>
        <v/>
      </c>
      <c r="W683" s="56">
        <f t="shared" si="162"/>
        <v>0</v>
      </c>
      <c r="X683" s="57" t="str">
        <f t="shared" si="163"/>
        <v/>
      </c>
      <c r="Y683" s="58">
        <f t="shared" si="164"/>
        <v>0</v>
      </c>
      <c r="AA683" s="62" t="str">
        <f t="shared" si="175"/>
        <v/>
      </c>
    </row>
    <row r="684" spans="3:27">
      <c r="C684" s="82"/>
      <c r="E684" s="30" t="str">
        <f t="shared" si="172"/>
        <v>00:00:00</v>
      </c>
      <c r="F684" s="36" t="str">
        <f t="shared" si="165"/>
        <v/>
      </c>
      <c r="G684" s="36">
        <f t="shared" si="166"/>
        <v>0</v>
      </c>
      <c r="H684" s="3" t="str">
        <f t="shared" si="167"/>
        <v/>
      </c>
      <c r="I684" s="3">
        <f t="shared" si="168"/>
        <v>0</v>
      </c>
      <c r="L684" s="35">
        <f t="shared" si="176"/>
        <v>1</v>
      </c>
      <c r="O684" s="27">
        <f t="shared" si="169"/>
        <v>0</v>
      </c>
      <c r="P684" s="3">
        <v>682</v>
      </c>
      <c r="Q684" s="3" t="e">
        <f t="shared" si="173"/>
        <v>#N/A</v>
      </c>
      <c r="R684" s="3" t="e">
        <f t="shared" si="174"/>
        <v>#N/A</v>
      </c>
      <c r="T684" s="46" t="str">
        <f t="shared" si="170"/>
        <v/>
      </c>
      <c r="U684" s="48" t="str">
        <f t="shared" si="171"/>
        <v/>
      </c>
      <c r="W684" s="56">
        <f t="shared" si="162"/>
        <v>0</v>
      </c>
      <c r="X684" s="57" t="str">
        <f t="shared" si="163"/>
        <v/>
      </c>
      <c r="Y684" s="58">
        <f t="shared" si="164"/>
        <v>0</v>
      </c>
      <c r="AA684" s="62" t="str">
        <f t="shared" si="175"/>
        <v/>
      </c>
    </row>
    <row r="685" spans="3:27">
      <c r="C685" s="82"/>
      <c r="E685" s="30" t="str">
        <f t="shared" si="172"/>
        <v>00:00:00</v>
      </c>
      <c r="F685" s="36" t="str">
        <f t="shared" si="165"/>
        <v/>
      </c>
      <c r="G685" s="36">
        <f t="shared" si="166"/>
        <v>0</v>
      </c>
      <c r="H685" s="3" t="str">
        <f t="shared" si="167"/>
        <v/>
      </c>
      <c r="I685" s="3">
        <f t="shared" si="168"/>
        <v>0</v>
      </c>
      <c r="L685" s="35">
        <f t="shared" si="176"/>
        <v>1</v>
      </c>
      <c r="O685" s="27">
        <f t="shared" si="169"/>
        <v>0</v>
      </c>
      <c r="P685" s="3">
        <v>683</v>
      </c>
      <c r="Q685" s="3" t="e">
        <f t="shared" si="173"/>
        <v>#N/A</v>
      </c>
      <c r="R685" s="3" t="e">
        <f t="shared" si="174"/>
        <v>#N/A</v>
      </c>
      <c r="T685" s="46" t="str">
        <f t="shared" si="170"/>
        <v/>
      </c>
      <c r="U685" s="48" t="str">
        <f t="shared" si="171"/>
        <v/>
      </c>
      <c r="W685" s="56">
        <f t="shared" si="162"/>
        <v>0</v>
      </c>
      <c r="X685" s="57" t="str">
        <f t="shared" si="163"/>
        <v/>
      </c>
      <c r="Y685" s="58">
        <f t="shared" si="164"/>
        <v>0</v>
      </c>
      <c r="AA685" s="62" t="str">
        <f t="shared" si="175"/>
        <v/>
      </c>
    </row>
    <row r="686" spans="3:27">
      <c r="C686" s="82"/>
      <c r="E686" s="30" t="str">
        <f t="shared" si="172"/>
        <v>00:00:00</v>
      </c>
      <c r="F686" s="36" t="str">
        <f t="shared" si="165"/>
        <v/>
      </c>
      <c r="G686" s="36">
        <f t="shared" si="166"/>
        <v>0</v>
      </c>
      <c r="H686" s="3" t="str">
        <f t="shared" si="167"/>
        <v/>
      </c>
      <c r="I686" s="3">
        <f t="shared" si="168"/>
        <v>0</v>
      </c>
      <c r="L686" s="35">
        <f t="shared" si="176"/>
        <v>1</v>
      </c>
      <c r="O686" s="27">
        <f t="shared" si="169"/>
        <v>0</v>
      </c>
      <c r="P686" s="3">
        <v>684</v>
      </c>
      <c r="Q686" s="3" t="e">
        <f t="shared" si="173"/>
        <v>#N/A</v>
      </c>
      <c r="R686" s="3" t="e">
        <f t="shared" si="174"/>
        <v>#N/A</v>
      </c>
      <c r="T686" s="46" t="str">
        <f t="shared" si="170"/>
        <v/>
      </c>
      <c r="U686" s="48" t="str">
        <f t="shared" si="171"/>
        <v/>
      </c>
      <c r="W686" s="56">
        <f t="shared" si="162"/>
        <v>0</v>
      </c>
      <c r="X686" s="57" t="str">
        <f t="shared" si="163"/>
        <v/>
      </c>
      <c r="Y686" s="58">
        <f t="shared" si="164"/>
        <v>0</v>
      </c>
      <c r="AA686" s="62" t="str">
        <f t="shared" si="175"/>
        <v/>
      </c>
    </row>
    <row r="687" spans="3:27">
      <c r="C687" s="82"/>
      <c r="E687" s="30" t="str">
        <f t="shared" si="172"/>
        <v>00:00:00</v>
      </c>
      <c r="F687" s="36" t="str">
        <f t="shared" si="165"/>
        <v/>
      </c>
      <c r="G687" s="36">
        <f t="shared" si="166"/>
        <v>0</v>
      </c>
      <c r="H687" s="3" t="str">
        <f t="shared" si="167"/>
        <v/>
      </c>
      <c r="I687" s="3">
        <f t="shared" si="168"/>
        <v>0</v>
      </c>
      <c r="L687" s="35">
        <f t="shared" si="176"/>
        <v>1</v>
      </c>
      <c r="O687" s="27">
        <f t="shared" si="169"/>
        <v>0</v>
      </c>
      <c r="P687" s="3">
        <v>685</v>
      </c>
      <c r="Q687" s="3" t="e">
        <f t="shared" si="173"/>
        <v>#N/A</v>
      </c>
      <c r="R687" s="3" t="e">
        <f t="shared" si="174"/>
        <v>#N/A</v>
      </c>
      <c r="T687" s="46" t="str">
        <f t="shared" si="170"/>
        <v/>
      </c>
      <c r="U687" s="48" t="str">
        <f t="shared" si="171"/>
        <v/>
      </c>
      <c r="W687" s="56">
        <f t="shared" si="162"/>
        <v>0</v>
      </c>
      <c r="X687" s="57" t="str">
        <f t="shared" si="163"/>
        <v/>
      </c>
      <c r="Y687" s="58">
        <f t="shared" si="164"/>
        <v>0</v>
      </c>
      <c r="AA687" s="62" t="str">
        <f t="shared" si="175"/>
        <v/>
      </c>
    </row>
    <row r="688" spans="3:27">
      <c r="C688" s="82"/>
      <c r="E688" s="30" t="str">
        <f t="shared" si="172"/>
        <v>00:00:00</v>
      </c>
      <c r="F688" s="36" t="str">
        <f t="shared" si="165"/>
        <v/>
      </c>
      <c r="G688" s="36">
        <f t="shared" si="166"/>
        <v>0</v>
      </c>
      <c r="H688" s="3" t="str">
        <f t="shared" si="167"/>
        <v/>
      </c>
      <c r="I688" s="3">
        <f t="shared" si="168"/>
        <v>0</v>
      </c>
      <c r="L688" s="35">
        <f t="shared" si="176"/>
        <v>1</v>
      </c>
      <c r="O688" s="27">
        <f t="shared" si="169"/>
        <v>0</v>
      </c>
      <c r="P688" s="3">
        <v>686</v>
      </c>
      <c r="Q688" s="3" t="e">
        <f t="shared" si="173"/>
        <v>#N/A</v>
      </c>
      <c r="R688" s="3" t="e">
        <f t="shared" si="174"/>
        <v>#N/A</v>
      </c>
      <c r="T688" s="46" t="str">
        <f t="shared" si="170"/>
        <v/>
      </c>
      <c r="U688" s="48" t="str">
        <f t="shared" si="171"/>
        <v/>
      </c>
      <c r="W688" s="56">
        <f t="shared" si="162"/>
        <v>0</v>
      </c>
      <c r="X688" s="57" t="str">
        <f t="shared" si="163"/>
        <v/>
      </c>
      <c r="Y688" s="58">
        <f t="shared" si="164"/>
        <v>0</v>
      </c>
      <c r="AA688" s="62" t="str">
        <f t="shared" si="175"/>
        <v/>
      </c>
    </row>
    <row r="689" spans="3:27">
      <c r="C689" s="82"/>
      <c r="E689" s="30" t="str">
        <f t="shared" si="172"/>
        <v>00:00:00</v>
      </c>
      <c r="F689" s="36" t="str">
        <f t="shared" si="165"/>
        <v/>
      </c>
      <c r="G689" s="36">
        <f t="shared" si="166"/>
        <v>0</v>
      </c>
      <c r="H689" s="3" t="str">
        <f t="shared" si="167"/>
        <v/>
      </c>
      <c r="I689" s="3">
        <f t="shared" si="168"/>
        <v>0</v>
      </c>
      <c r="L689" s="35">
        <f t="shared" si="176"/>
        <v>1</v>
      </c>
      <c r="O689" s="27">
        <f t="shared" si="169"/>
        <v>0</v>
      </c>
      <c r="P689" s="3">
        <v>687</v>
      </c>
      <c r="Q689" s="3" t="e">
        <f t="shared" si="173"/>
        <v>#N/A</v>
      </c>
      <c r="R689" s="3" t="e">
        <f t="shared" si="174"/>
        <v>#N/A</v>
      </c>
      <c r="T689" s="46" t="str">
        <f t="shared" si="170"/>
        <v/>
      </c>
      <c r="U689" s="48" t="str">
        <f t="shared" si="171"/>
        <v/>
      </c>
      <c r="W689" s="56">
        <f t="shared" si="162"/>
        <v>0</v>
      </c>
      <c r="X689" s="57" t="str">
        <f t="shared" si="163"/>
        <v/>
      </c>
      <c r="Y689" s="58">
        <f t="shared" si="164"/>
        <v>0</v>
      </c>
      <c r="AA689" s="62" t="str">
        <f t="shared" si="175"/>
        <v/>
      </c>
    </row>
    <row r="690" spans="3:27">
      <c r="C690" s="82"/>
      <c r="E690" s="30" t="str">
        <f t="shared" si="172"/>
        <v>00:00:00</v>
      </c>
      <c r="F690" s="36" t="str">
        <f t="shared" si="165"/>
        <v/>
      </c>
      <c r="G690" s="36">
        <f t="shared" si="166"/>
        <v>0</v>
      </c>
      <c r="H690" s="3" t="str">
        <f t="shared" si="167"/>
        <v/>
      </c>
      <c r="I690" s="3">
        <f t="shared" si="168"/>
        <v>0</v>
      </c>
      <c r="L690" s="35">
        <f t="shared" si="176"/>
        <v>1</v>
      </c>
      <c r="O690" s="27">
        <f t="shared" si="169"/>
        <v>0</v>
      </c>
      <c r="P690" s="3">
        <v>688</v>
      </c>
      <c r="Q690" s="3" t="e">
        <f t="shared" si="173"/>
        <v>#N/A</v>
      </c>
      <c r="R690" s="3" t="e">
        <f t="shared" si="174"/>
        <v>#N/A</v>
      </c>
      <c r="T690" s="46" t="str">
        <f t="shared" si="170"/>
        <v/>
      </c>
      <c r="U690" s="48" t="str">
        <f t="shared" si="171"/>
        <v/>
      </c>
      <c r="W690" s="56">
        <f t="shared" si="162"/>
        <v>0</v>
      </c>
      <c r="X690" s="57" t="str">
        <f t="shared" si="163"/>
        <v/>
      </c>
      <c r="Y690" s="58">
        <f t="shared" si="164"/>
        <v>0</v>
      </c>
      <c r="AA690" s="62" t="str">
        <f t="shared" si="175"/>
        <v/>
      </c>
    </row>
    <row r="691" spans="3:27">
      <c r="C691" s="82"/>
      <c r="E691" s="30" t="str">
        <f t="shared" si="172"/>
        <v>00:00:00</v>
      </c>
      <c r="F691" s="36" t="str">
        <f t="shared" si="165"/>
        <v/>
      </c>
      <c r="G691" s="36">
        <f t="shared" si="166"/>
        <v>0</v>
      </c>
      <c r="H691" s="3" t="str">
        <f t="shared" si="167"/>
        <v/>
      </c>
      <c r="I691" s="3">
        <f t="shared" si="168"/>
        <v>0</v>
      </c>
      <c r="L691" s="35">
        <f t="shared" si="176"/>
        <v>1</v>
      </c>
      <c r="O691" s="27">
        <f t="shared" si="169"/>
        <v>0</v>
      </c>
      <c r="P691" s="3">
        <v>689</v>
      </c>
      <c r="Q691" s="3" t="e">
        <f t="shared" si="173"/>
        <v>#N/A</v>
      </c>
      <c r="R691" s="3" t="e">
        <f t="shared" si="174"/>
        <v>#N/A</v>
      </c>
      <c r="T691" s="46" t="str">
        <f t="shared" si="170"/>
        <v/>
      </c>
      <c r="U691" s="48" t="str">
        <f t="shared" si="171"/>
        <v/>
      </c>
      <c r="W691" s="56">
        <f t="shared" si="162"/>
        <v>0</v>
      </c>
      <c r="X691" s="57" t="str">
        <f t="shared" si="163"/>
        <v/>
      </c>
      <c r="Y691" s="58">
        <f t="shared" si="164"/>
        <v>0</v>
      </c>
      <c r="AA691" s="62" t="str">
        <f t="shared" si="175"/>
        <v/>
      </c>
    </row>
    <row r="692" spans="3:27">
      <c r="C692" s="82"/>
      <c r="E692" s="30" t="str">
        <f t="shared" si="172"/>
        <v>00:00:00</v>
      </c>
      <c r="F692" s="36" t="str">
        <f t="shared" si="165"/>
        <v/>
      </c>
      <c r="G692" s="36">
        <f t="shared" si="166"/>
        <v>0</v>
      </c>
      <c r="H692" s="3" t="str">
        <f t="shared" si="167"/>
        <v/>
      </c>
      <c r="I692" s="3">
        <f t="shared" si="168"/>
        <v>0</v>
      </c>
      <c r="L692" s="35">
        <f t="shared" si="176"/>
        <v>1</v>
      </c>
      <c r="O692" s="27">
        <f t="shared" si="169"/>
        <v>0</v>
      </c>
      <c r="P692" s="3">
        <v>690</v>
      </c>
      <c r="Q692" s="3" t="e">
        <f t="shared" si="173"/>
        <v>#N/A</v>
      </c>
      <c r="R692" s="3" t="e">
        <f t="shared" si="174"/>
        <v>#N/A</v>
      </c>
      <c r="T692" s="46" t="str">
        <f t="shared" si="170"/>
        <v/>
      </c>
      <c r="U692" s="48" t="str">
        <f t="shared" si="171"/>
        <v/>
      </c>
      <c r="W692" s="56">
        <f t="shared" si="162"/>
        <v>0</v>
      </c>
      <c r="X692" s="57" t="str">
        <f t="shared" si="163"/>
        <v/>
      </c>
      <c r="Y692" s="58">
        <f t="shared" si="164"/>
        <v>0</v>
      </c>
      <c r="AA692" s="62" t="str">
        <f t="shared" si="175"/>
        <v/>
      </c>
    </row>
    <row r="693" spans="3:27">
      <c r="C693" s="82"/>
      <c r="E693" s="30" t="str">
        <f t="shared" si="172"/>
        <v>00:00:00</v>
      </c>
      <c r="F693" s="36" t="str">
        <f t="shared" si="165"/>
        <v/>
      </c>
      <c r="G693" s="36">
        <f t="shared" si="166"/>
        <v>0</v>
      </c>
      <c r="H693" s="3" t="str">
        <f t="shared" si="167"/>
        <v/>
      </c>
      <c r="I693" s="3">
        <f t="shared" si="168"/>
        <v>0</v>
      </c>
      <c r="L693" s="35">
        <f t="shared" si="176"/>
        <v>1</v>
      </c>
      <c r="O693" s="27">
        <f t="shared" si="169"/>
        <v>0</v>
      </c>
      <c r="P693" s="3">
        <v>691</v>
      </c>
      <c r="Q693" s="3" t="e">
        <f t="shared" si="173"/>
        <v>#N/A</v>
      </c>
      <c r="R693" s="3" t="e">
        <f t="shared" si="174"/>
        <v>#N/A</v>
      </c>
      <c r="T693" s="46" t="str">
        <f t="shared" si="170"/>
        <v/>
      </c>
      <c r="U693" s="48" t="str">
        <f t="shared" si="171"/>
        <v/>
      </c>
      <c r="W693" s="56">
        <f t="shared" si="162"/>
        <v>0</v>
      </c>
      <c r="X693" s="57" t="str">
        <f t="shared" si="163"/>
        <v/>
      </c>
      <c r="Y693" s="58">
        <f t="shared" si="164"/>
        <v>0</v>
      </c>
      <c r="AA693" s="62" t="str">
        <f t="shared" si="175"/>
        <v/>
      </c>
    </row>
    <row r="694" spans="3:27">
      <c r="C694" s="82"/>
      <c r="E694" s="30" t="str">
        <f t="shared" si="172"/>
        <v>00:00:00</v>
      </c>
      <c r="F694" s="36" t="str">
        <f t="shared" si="165"/>
        <v/>
      </c>
      <c r="G694" s="36">
        <f t="shared" si="166"/>
        <v>0</v>
      </c>
      <c r="H694" s="3" t="str">
        <f t="shared" si="167"/>
        <v/>
      </c>
      <c r="I694" s="3">
        <f t="shared" si="168"/>
        <v>0</v>
      </c>
      <c r="L694" s="35">
        <f t="shared" si="176"/>
        <v>1</v>
      </c>
      <c r="O694" s="27">
        <f t="shared" si="169"/>
        <v>0</v>
      </c>
      <c r="P694" s="3">
        <v>692</v>
      </c>
      <c r="Q694" s="3" t="e">
        <f t="shared" si="173"/>
        <v>#N/A</v>
      </c>
      <c r="R694" s="3" t="e">
        <f t="shared" si="174"/>
        <v>#N/A</v>
      </c>
      <c r="T694" s="46" t="str">
        <f t="shared" si="170"/>
        <v/>
      </c>
      <c r="U694" s="48" t="str">
        <f t="shared" si="171"/>
        <v/>
      </c>
      <c r="W694" s="56">
        <f t="shared" si="162"/>
        <v>0</v>
      </c>
      <c r="X694" s="57" t="str">
        <f t="shared" si="163"/>
        <v/>
      </c>
      <c r="Y694" s="58">
        <f t="shared" si="164"/>
        <v>0</v>
      </c>
      <c r="AA694" s="62" t="str">
        <f t="shared" si="175"/>
        <v/>
      </c>
    </row>
    <row r="695" spans="3:27">
      <c r="C695" s="82"/>
      <c r="E695" s="30" t="str">
        <f t="shared" si="172"/>
        <v>00:00:00</v>
      </c>
      <c r="F695" s="36" t="str">
        <f t="shared" si="165"/>
        <v/>
      </c>
      <c r="G695" s="36">
        <f t="shared" si="166"/>
        <v>0</v>
      </c>
      <c r="H695" s="3" t="str">
        <f t="shared" si="167"/>
        <v/>
      </c>
      <c r="I695" s="3">
        <f t="shared" si="168"/>
        <v>0</v>
      </c>
      <c r="L695" s="35">
        <f t="shared" si="176"/>
        <v>1</v>
      </c>
      <c r="O695" s="27">
        <f t="shared" si="169"/>
        <v>0</v>
      </c>
      <c r="P695" s="3">
        <v>693</v>
      </c>
      <c r="Q695" s="3" t="e">
        <f t="shared" si="173"/>
        <v>#N/A</v>
      </c>
      <c r="R695" s="3" t="e">
        <f t="shared" si="174"/>
        <v>#N/A</v>
      </c>
      <c r="T695" s="46" t="str">
        <f t="shared" si="170"/>
        <v/>
      </c>
      <c r="U695" s="48" t="str">
        <f t="shared" si="171"/>
        <v/>
      </c>
      <c r="W695" s="56">
        <f t="shared" si="162"/>
        <v>0</v>
      </c>
      <c r="X695" s="57" t="str">
        <f t="shared" si="163"/>
        <v/>
      </c>
      <c r="Y695" s="58">
        <f t="shared" si="164"/>
        <v>0</v>
      </c>
      <c r="AA695" s="62" t="str">
        <f t="shared" si="175"/>
        <v/>
      </c>
    </row>
    <row r="696" spans="3:27">
      <c r="C696" s="82"/>
      <c r="E696" s="30" t="str">
        <f t="shared" si="172"/>
        <v>00:00:00</v>
      </c>
      <c r="F696" s="36" t="str">
        <f t="shared" si="165"/>
        <v/>
      </c>
      <c r="G696" s="36">
        <f t="shared" si="166"/>
        <v>0</v>
      </c>
      <c r="H696" s="3" t="str">
        <f t="shared" si="167"/>
        <v/>
      </c>
      <c r="I696" s="3">
        <f t="shared" si="168"/>
        <v>0</v>
      </c>
      <c r="L696" s="35">
        <f t="shared" si="176"/>
        <v>1</v>
      </c>
      <c r="O696" s="27">
        <f t="shared" si="169"/>
        <v>0</v>
      </c>
      <c r="P696" s="3">
        <v>694</v>
      </c>
      <c r="Q696" s="3" t="e">
        <f t="shared" si="173"/>
        <v>#N/A</v>
      </c>
      <c r="R696" s="3" t="e">
        <f t="shared" si="174"/>
        <v>#N/A</v>
      </c>
      <c r="T696" s="46" t="str">
        <f t="shared" si="170"/>
        <v/>
      </c>
      <c r="U696" s="48" t="str">
        <f t="shared" si="171"/>
        <v/>
      </c>
      <c r="W696" s="56">
        <f t="shared" si="162"/>
        <v>0</v>
      </c>
      <c r="X696" s="57" t="str">
        <f t="shared" si="163"/>
        <v/>
      </c>
      <c r="Y696" s="58">
        <f t="shared" si="164"/>
        <v>0</v>
      </c>
      <c r="AA696" s="62" t="str">
        <f t="shared" si="175"/>
        <v/>
      </c>
    </row>
    <row r="697" spans="3:27">
      <c r="C697" s="82"/>
      <c r="E697" s="30" t="str">
        <f t="shared" si="172"/>
        <v>00:00:00</v>
      </c>
      <c r="F697" s="36" t="str">
        <f t="shared" si="165"/>
        <v/>
      </c>
      <c r="G697" s="36">
        <f t="shared" si="166"/>
        <v>0</v>
      </c>
      <c r="H697" s="3" t="str">
        <f t="shared" si="167"/>
        <v/>
      </c>
      <c r="I697" s="3">
        <f t="shared" si="168"/>
        <v>0</v>
      </c>
      <c r="L697" s="35">
        <f t="shared" si="176"/>
        <v>1</v>
      </c>
      <c r="O697" s="27">
        <f t="shared" si="169"/>
        <v>0</v>
      </c>
      <c r="P697" s="3">
        <v>695</v>
      </c>
      <c r="Q697" s="3" t="e">
        <f t="shared" si="173"/>
        <v>#N/A</v>
      </c>
      <c r="R697" s="3" t="e">
        <f t="shared" si="174"/>
        <v>#N/A</v>
      </c>
      <c r="T697" s="46" t="str">
        <f t="shared" si="170"/>
        <v/>
      </c>
      <c r="U697" s="48" t="str">
        <f t="shared" si="171"/>
        <v/>
      </c>
      <c r="W697" s="56">
        <f t="shared" si="162"/>
        <v>0</v>
      </c>
      <c r="X697" s="57" t="str">
        <f t="shared" si="163"/>
        <v/>
      </c>
      <c r="Y697" s="58">
        <f t="shared" si="164"/>
        <v>0</v>
      </c>
      <c r="AA697" s="62" t="str">
        <f t="shared" si="175"/>
        <v/>
      </c>
    </row>
    <row r="698" spans="3:27">
      <c r="C698" s="82"/>
      <c r="E698" s="30" t="str">
        <f t="shared" si="172"/>
        <v>00:00:00</v>
      </c>
      <c r="F698" s="36" t="str">
        <f t="shared" si="165"/>
        <v/>
      </c>
      <c r="G698" s="36">
        <f t="shared" si="166"/>
        <v>0</v>
      </c>
      <c r="H698" s="3" t="str">
        <f t="shared" si="167"/>
        <v/>
      </c>
      <c r="I698" s="3">
        <f t="shared" si="168"/>
        <v>0</v>
      </c>
      <c r="L698" s="35">
        <f t="shared" si="176"/>
        <v>1</v>
      </c>
      <c r="O698" s="27">
        <f t="shared" si="169"/>
        <v>0</v>
      </c>
      <c r="P698" s="3">
        <v>696</v>
      </c>
      <c r="Q698" s="3" t="e">
        <f t="shared" si="173"/>
        <v>#N/A</v>
      </c>
      <c r="R698" s="3" t="e">
        <f t="shared" si="174"/>
        <v>#N/A</v>
      </c>
      <c r="T698" s="46" t="str">
        <f t="shared" si="170"/>
        <v/>
      </c>
      <c r="U698" s="48" t="str">
        <f t="shared" si="171"/>
        <v/>
      </c>
      <c r="W698" s="56">
        <f t="shared" si="162"/>
        <v>0</v>
      </c>
      <c r="X698" s="57" t="str">
        <f t="shared" si="163"/>
        <v/>
      </c>
      <c r="Y698" s="58">
        <f t="shared" si="164"/>
        <v>0</v>
      </c>
      <c r="AA698" s="62" t="str">
        <f t="shared" si="175"/>
        <v/>
      </c>
    </row>
    <row r="699" spans="3:27">
      <c r="C699" s="82"/>
      <c r="E699" s="30" t="str">
        <f t="shared" si="172"/>
        <v>00:00:00</v>
      </c>
      <c r="F699" s="36" t="str">
        <f t="shared" si="165"/>
        <v/>
      </c>
      <c r="G699" s="36">
        <f t="shared" si="166"/>
        <v>0</v>
      </c>
      <c r="H699" s="3" t="str">
        <f t="shared" si="167"/>
        <v/>
      </c>
      <c r="I699" s="3">
        <f t="shared" si="168"/>
        <v>0</v>
      </c>
      <c r="L699" s="35">
        <f t="shared" si="176"/>
        <v>1</v>
      </c>
      <c r="O699" s="27">
        <f t="shared" si="169"/>
        <v>0</v>
      </c>
      <c r="P699" s="3">
        <v>697</v>
      </c>
      <c r="Q699" s="3" t="e">
        <f t="shared" si="173"/>
        <v>#N/A</v>
      </c>
      <c r="R699" s="3" t="e">
        <f t="shared" si="174"/>
        <v>#N/A</v>
      </c>
      <c r="T699" s="46" t="str">
        <f t="shared" si="170"/>
        <v/>
      </c>
      <c r="U699" s="48" t="str">
        <f t="shared" si="171"/>
        <v/>
      </c>
      <c r="W699" s="56">
        <f t="shared" si="162"/>
        <v>0</v>
      </c>
      <c r="X699" s="57" t="str">
        <f t="shared" si="163"/>
        <v/>
      </c>
      <c r="Y699" s="58">
        <f t="shared" si="164"/>
        <v>0</v>
      </c>
      <c r="AA699" s="62" t="str">
        <f t="shared" si="175"/>
        <v/>
      </c>
    </row>
    <row r="700" spans="3:27">
      <c r="C700" s="82"/>
      <c r="E700" s="30" t="str">
        <f t="shared" si="172"/>
        <v>00:00:00</v>
      </c>
      <c r="F700" s="36" t="str">
        <f t="shared" si="165"/>
        <v/>
      </c>
      <c r="G700" s="36">
        <f t="shared" si="166"/>
        <v>0</v>
      </c>
      <c r="H700" s="3" t="str">
        <f t="shared" si="167"/>
        <v/>
      </c>
      <c r="I700" s="3">
        <f t="shared" si="168"/>
        <v>0</v>
      </c>
      <c r="L700" s="35">
        <f t="shared" si="176"/>
        <v>1</v>
      </c>
      <c r="O700" s="27">
        <f t="shared" si="169"/>
        <v>0</v>
      </c>
      <c r="P700" s="3">
        <v>698</v>
      </c>
      <c r="Q700" s="3" t="e">
        <f t="shared" si="173"/>
        <v>#N/A</v>
      </c>
      <c r="R700" s="3" t="e">
        <f t="shared" si="174"/>
        <v>#N/A</v>
      </c>
      <c r="T700" s="46" t="str">
        <f t="shared" si="170"/>
        <v/>
      </c>
      <c r="U700" s="48" t="str">
        <f t="shared" si="171"/>
        <v/>
      </c>
      <c r="W700" s="56">
        <f t="shared" si="162"/>
        <v>0</v>
      </c>
      <c r="X700" s="57" t="str">
        <f t="shared" si="163"/>
        <v/>
      </c>
      <c r="Y700" s="58">
        <f t="shared" si="164"/>
        <v>0</v>
      </c>
      <c r="AA700" s="62" t="str">
        <f t="shared" si="175"/>
        <v/>
      </c>
    </row>
    <row r="701" spans="3:27">
      <c r="C701" s="82"/>
      <c r="E701" s="30" t="str">
        <f t="shared" si="172"/>
        <v>00:00:00</v>
      </c>
      <c r="F701" s="36" t="str">
        <f t="shared" si="165"/>
        <v/>
      </c>
      <c r="G701" s="36">
        <f t="shared" si="166"/>
        <v>0</v>
      </c>
      <c r="H701" s="3" t="str">
        <f t="shared" si="167"/>
        <v/>
      </c>
      <c r="I701" s="3">
        <f t="shared" si="168"/>
        <v>0</v>
      </c>
      <c r="L701" s="35">
        <f t="shared" si="176"/>
        <v>1</v>
      </c>
      <c r="O701" s="27">
        <f t="shared" si="169"/>
        <v>0</v>
      </c>
      <c r="P701" s="3">
        <v>699</v>
      </c>
      <c r="Q701" s="3" t="e">
        <f t="shared" si="173"/>
        <v>#N/A</v>
      </c>
      <c r="R701" s="3" t="e">
        <f t="shared" si="174"/>
        <v>#N/A</v>
      </c>
      <c r="T701" s="46" t="str">
        <f t="shared" si="170"/>
        <v/>
      </c>
      <c r="U701" s="48" t="str">
        <f t="shared" si="171"/>
        <v/>
      </c>
      <c r="W701" s="56">
        <f t="shared" si="162"/>
        <v>0</v>
      </c>
      <c r="X701" s="57" t="str">
        <f t="shared" si="163"/>
        <v/>
      </c>
      <c r="Y701" s="58">
        <f t="shared" si="164"/>
        <v>0</v>
      </c>
      <c r="AA701" s="62" t="str">
        <f t="shared" si="175"/>
        <v/>
      </c>
    </row>
    <row r="702" spans="3:27">
      <c r="C702" s="82"/>
      <c r="E702" s="30" t="str">
        <f t="shared" si="172"/>
        <v>00:00:00</v>
      </c>
      <c r="F702" s="36" t="str">
        <f t="shared" si="165"/>
        <v/>
      </c>
      <c r="G702" s="36">
        <f t="shared" si="166"/>
        <v>0</v>
      </c>
      <c r="H702" s="3" t="str">
        <f t="shared" si="167"/>
        <v/>
      </c>
      <c r="I702" s="3">
        <f t="shared" si="168"/>
        <v>0</v>
      </c>
      <c r="L702" s="35">
        <f t="shared" si="176"/>
        <v>1</v>
      </c>
      <c r="O702" s="27">
        <f t="shared" si="169"/>
        <v>0</v>
      </c>
      <c r="P702" s="3">
        <v>700</v>
      </c>
      <c r="Q702" s="3" t="e">
        <f t="shared" si="173"/>
        <v>#N/A</v>
      </c>
      <c r="R702" s="3" t="e">
        <f t="shared" si="174"/>
        <v>#N/A</v>
      </c>
      <c r="T702" s="46" t="str">
        <f t="shared" si="170"/>
        <v/>
      </c>
      <c r="U702" s="48" t="str">
        <f t="shared" si="171"/>
        <v/>
      </c>
      <c r="W702" s="56">
        <f t="shared" si="162"/>
        <v>0</v>
      </c>
      <c r="X702" s="57" t="str">
        <f t="shared" si="163"/>
        <v/>
      </c>
      <c r="Y702" s="58">
        <f t="shared" si="164"/>
        <v>0</v>
      </c>
      <c r="AA702" s="62" t="str">
        <f t="shared" si="175"/>
        <v/>
      </c>
    </row>
    <row r="703" spans="3:27">
      <c r="C703" s="82"/>
      <c r="E703" s="30" t="str">
        <f t="shared" si="172"/>
        <v>00:00:00</v>
      </c>
      <c r="F703" s="36" t="str">
        <f t="shared" si="165"/>
        <v/>
      </c>
      <c r="G703" s="36">
        <f t="shared" si="166"/>
        <v>0</v>
      </c>
      <c r="H703" s="3" t="str">
        <f t="shared" si="167"/>
        <v/>
      </c>
      <c r="I703" s="3">
        <f t="shared" si="168"/>
        <v>0</v>
      </c>
      <c r="L703" s="35">
        <f t="shared" si="176"/>
        <v>1</v>
      </c>
      <c r="O703" s="27">
        <f t="shared" si="169"/>
        <v>0</v>
      </c>
      <c r="P703" s="3">
        <v>701</v>
      </c>
      <c r="Q703" s="3" t="e">
        <f t="shared" si="173"/>
        <v>#N/A</v>
      </c>
      <c r="R703" s="3" t="e">
        <f t="shared" si="174"/>
        <v>#N/A</v>
      </c>
      <c r="T703" s="46" t="str">
        <f t="shared" si="170"/>
        <v/>
      </c>
      <c r="U703" s="48" t="str">
        <f t="shared" si="171"/>
        <v/>
      </c>
      <c r="W703" s="56">
        <f t="shared" si="162"/>
        <v>0</v>
      </c>
      <c r="X703" s="57" t="str">
        <f t="shared" si="163"/>
        <v/>
      </c>
      <c r="Y703" s="58">
        <f t="shared" si="164"/>
        <v>0</v>
      </c>
      <c r="AA703" s="62" t="str">
        <f t="shared" si="175"/>
        <v/>
      </c>
    </row>
    <row r="704" spans="3:27">
      <c r="C704" s="82"/>
      <c r="E704" s="30" t="str">
        <f t="shared" si="172"/>
        <v>00:00:00</v>
      </c>
      <c r="F704" s="36" t="str">
        <f t="shared" si="165"/>
        <v/>
      </c>
      <c r="G704" s="36">
        <f t="shared" si="166"/>
        <v>0</v>
      </c>
      <c r="H704" s="3" t="str">
        <f t="shared" si="167"/>
        <v/>
      </c>
      <c r="I704" s="3">
        <f t="shared" si="168"/>
        <v>0</v>
      </c>
      <c r="L704" s="35">
        <f t="shared" si="176"/>
        <v>1</v>
      </c>
      <c r="O704" s="27">
        <f t="shared" si="169"/>
        <v>0</v>
      </c>
      <c r="P704" s="3">
        <v>702</v>
      </c>
      <c r="Q704" s="3" t="e">
        <f t="shared" si="173"/>
        <v>#N/A</v>
      </c>
      <c r="R704" s="3" t="e">
        <f t="shared" si="174"/>
        <v>#N/A</v>
      </c>
      <c r="T704" s="46" t="str">
        <f t="shared" si="170"/>
        <v/>
      </c>
      <c r="U704" s="48" t="str">
        <f t="shared" si="171"/>
        <v/>
      </c>
      <c r="W704" s="56">
        <f t="shared" si="162"/>
        <v>0</v>
      </c>
      <c r="X704" s="57" t="str">
        <f t="shared" si="163"/>
        <v/>
      </c>
      <c r="Y704" s="58">
        <f t="shared" si="164"/>
        <v>0</v>
      </c>
      <c r="AA704" s="62" t="str">
        <f t="shared" si="175"/>
        <v/>
      </c>
    </row>
    <row r="705" spans="3:27">
      <c r="C705" s="82"/>
      <c r="E705" s="30" t="str">
        <f t="shared" si="172"/>
        <v>00:00:00</v>
      </c>
      <c r="F705" s="36" t="str">
        <f t="shared" si="165"/>
        <v/>
      </c>
      <c r="G705" s="36">
        <f t="shared" si="166"/>
        <v>0</v>
      </c>
      <c r="H705" s="3" t="str">
        <f t="shared" si="167"/>
        <v/>
      </c>
      <c r="I705" s="3">
        <f t="shared" si="168"/>
        <v>0</v>
      </c>
      <c r="L705" s="35">
        <f t="shared" si="176"/>
        <v>1</v>
      </c>
      <c r="O705" s="27">
        <f t="shared" si="169"/>
        <v>0</v>
      </c>
      <c r="P705" s="3">
        <v>703</v>
      </c>
      <c r="Q705" s="3" t="e">
        <f t="shared" si="173"/>
        <v>#N/A</v>
      </c>
      <c r="R705" s="3" t="e">
        <f t="shared" si="174"/>
        <v>#N/A</v>
      </c>
      <c r="T705" s="46" t="str">
        <f t="shared" si="170"/>
        <v/>
      </c>
      <c r="U705" s="48" t="str">
        <f t="shared" si="171"/>
        <v/>
      </c>
      <c r="W705" s="56">
        <f t="shared" si="162"/>
        <v>0</v>
      </c>
      <c r="X705" s="57" t="str">
        <f t="shared" si="163"/>
        <v/>
      </c>
      <c r="Y705" s="58">
        <f t="shared" si="164"/>
        <v>0</v>
      </c>
      <c r="AA705" s="62" t="str">
        <f t="shared" si="175"/>
        <v/>
      </c>
    </row>
    <row r="706" spans="3:27">
      <c r="C706" s="82"/>
      <c r="E706" s="30" t="str">
        <f t="shared" si="172"/>
        <v>00:00:00</v>
      </c>
      <c r="F706" s="36" t="str">
        <f t="shared" si="165"/>
        <v/>
      </c>
      <c r="G706" s="36">
        <f t="shared" si="166"/>
        <v>0</v>
      </c>
      <c r="H706" s="3" t="str">
        <f t="shared" si="167"/>
        <v/>
      </c>
      <c r="I706" s="3">
        <f t="shared" si="168"/>
        <v>0</v>
      </c>
      <c r="L706" s="35">
        <f t="shared" si="176"/>
        <v>1</v>
      </c>
      <c r="O706" s="27">
        <f t="shared" si="169"/>
        <v>0</v>
      </c>
      <c r="P706" s="3">
        <v>704</v>
      </c>
      <c r="Q706" s="3" t="e">
        <f t="shared" si="173"/>
        <v>#N/A</v>
      </c>
      <c r="R706" s="3" t="e">
        <f t="shared" si="174"/>
        <v>#N/A</v>
      </c>
      <c r="T706" s="46" t="str">
        <f t="shared" si="170"/>
        <v/>
      </c>
      <c r="U706" s="48" t="str">
        <f t="shared" si="171"/>
        <v/>
      </c>
      <c r="W706" s="56">
        <f t="shared" ref="W706:W769" si="177">IF(H706&lt;&gt;H707,1,0)</f>
        <v>0</v>
      </c>
      <c r="X706" s="57" t="str">
        <f t="shared" ref="X706:X769" si="178">IF(W706=1,H706,"")</f>
        <v/>
      </c>
      <c r="Y706" s="58">
        <f t="shared" ref="Y706:Y769" si="179">D706</f>
        <v>0</v>
      </c>
      <c r="AA706" s="62" t="str">
        <f t="shared" si="175"/>
        <v/>
      </c>
    </row>
    <row r="707" spans="3:27">
      <c r="C707" s="82"/>
      <c r="E707" s="30" t="str">
        <f t="shared" si="172"/>
        <v>00:00:00</v>
      </c>
      <c r="F707" s="36" t="str">
        <f t="shared" ref="F707:F770" si="180">IF(G707=0,"",IF(G707&lt;8,1,IF(G707&lt;15,2,IF(G707&lt;22,3,4))))</f>
        <v/>
      </c>
      <c r="G707" s="36">
        <f t="shared" ref="G707:G770" si="181">DAY(B707)</f>
        <v>0</v>
      </c>
      <c r="H707" s="3" t="str">
        <f t="shared" ref="H707:H770" si="182">IF(ISNUMBER(B707),VLOOKUP(MONTH(B707),$J$2:$K$13,2,FALSE),"")</f>
        <v/>
      </c>
      <c r="I707" s="3">
        <f t="shared" ref="I707:I770" si="183">IF(A707&lt;&gt;A708,1,0)</f>
        <v>0</v>
      </c>
      <c r="L707" s="35">
        <f t="shared" si="176"/>
        <v>1</v>
      </c>
      <c r="O707" s="27">
        <f t="shared" ref="O707:O770" si="184">D707</f>
        <v>0</v>
      </c>
      <c r="P707" s="3">
        <v>705</v>
      </c>
      <c r="Q707" s="3" t="e">
        <f t="shared" si="173"/>
        <v>#N/A</v>
      </c>
      <c r="R707" s="3" t="e">
        <f t="shared" si="174"/>
        <v>#N/A</v>
      </c>
      <c r="T707" s="46" t="str">
        <f t="shared" ref="T707:T770" si="185">IFERROR(R707,"")</f>
        <v/>
      </c>
      <c r="U707" s="48" t="str">
        <f t="shared" ref="U707:U770" si="186">IFERROR(Q707,"")</f>
        <v/>
      </c>
      <c r="W707" s="56">
        <f t="shared" si="177"/>
        <v>0</v>
      </c>
      <c r="X707" s="57" t="str">
        <f t="shared" si="178"/>
        <v/>
      </c>
      <c r="Y707" s="58">
        <f t="shared" si="179"/>
        <v>0</v>
      </c>
      <c r="AA707" s="62" t="str">
        <f t="shared" si="175"/>
        <v/>
      </c>
    </row>
    <row r="708" spans="3:27">
      <c r="C708" s="82"/>
      <c r="E708" s="30" t="str">
        <f t="shared" ref="E708:E771" si="187">IF(A708&lt;&gt;A707,TEXT(C708,"hh:mm:ss"),TEXT(C708+E707,"hh:mm:ss"))</f>
        <v>00:00:00</v>
      </c>
      <c r="F708" s="36" t="str">
        <f t="shared" si="180"/>
        <v/>
      </c>
      <c r="G708" s="36">
        <f t="shared" si="181"/>
        <v>0</v>
      </c>
      <c r="H708" s="3" t="str">
        <f t="shared" si="182"/>
        <v/>
      </c>
      <c r="I708" s="3">
        <f t="shared" si="183"/>
        <v>0</v>
      </c>
      <c r="L708" s="35">
        <f t="shared" si="176"/>
        <v>1</v>
      </c>
      <c r="O708" s="27">
        <f t="shared" si="184"/>
        <v>0</v>
      </c>
      <c r="P708" s="3">
        <v>706</v>
      </c>
      <c r="Q708" s="3" t="e">
        <f t="shared" ref="Q708:Q771" si="188">VLOOKUP(P708,M:O,3,FALSE)</f>
        <v>#N/A</v>
      </c>
      <c r="R708" s="3" t="e">
        <f t="shared" ref="R708:R771" si="189">VLOOKUP(P708,M:N,2,FALSE)</f>
        <v>#N/A</v>
      </c>
      <c r="T708" s="46" t="str">
        <f t="shared" si="185"/>
        <v/>
      </c>
      <c r="U708" s="48" t="str">
        <f t="shared" si="186"/>
        <v/>
      </c>
      <c r="W708" s="56">
        <f t="shared" si="177"/>
        <v>0</v>
      </c>
      <c r="X708" s="57" t="str">
        <f t="shared" si="178"/>
        <v/>
      </c>
      <c r="Y708" s="58">
        <f t="shared" si="179"/>
        <v>0</v>
      </c>
      <c r="AA708" s="62" t="str">
        <f t="shared" ref="AA708:AA771" si="190">IFERROR(VLOOKUP(Z708,X:Y,2,FALSE),"")</f>
        <v/>
      </c>
    </row>
    <row r="709" spans="3:27">
      <c r="C709" s="82"/>
      <c r="E709" s="30" t="str">
        <f t="shared" si="187"/>
        <v>00:00:00</v>
      </c>
      <c r="F709" s="36" t="str">
        <f t="shared" si="180"/>
        <v/>
      </c>
      <c r="G709" s="36">
        <f t="shared" si="181"/>
        <v>0</v>
      </c>
      <c r="H709" s="3" t="str">
        <f t="shared" si="182"/>
        <v/>
      </c>
      <c r="I709" s="3">
        <f t="shared" si="183"/>
        <v>0</v>
      </c>
      <c r="L709" s="35">
        <f t="shared" si="176"/>
        <v>1</v>
      </c>
      <c r="O709" s="27">
        <f t="shared" si="184"/>
        <v>0</v>
      </c>
      <c r="P709" s="3">
        <v>707</v>
      </c>
      <c r="Q709" s="3" t="e">
        <f t="shared" si="188"/>
        <v>#N/A</v>
      </c>
      <c r="R709" s="3" t="e">
        <f t="shared" si="189"/>
        <v>#N/A</v>
      </c>
      <c r="T709" s="46" t="str">
        <f t="shared" si="185"/>
        <v/>
      </c>
      <c r="U709" s="48" t="str">
        <f t="shared" si="186"/>
        <v/>
      </c>
      <c r="W709" s="56">
        <f t="shared" si="177"/>
        <v>0</v>
      </c>
      <c r="X709" s="57" t="str">
        <f t="shared" si="178"/>
        <v/>
      </c>
      <c r="Y709" s="58">
        <f t="shared" si="179"/>
        <v>0</v>
      </c>
      <c r="AA709" s="62" t="str">
        <f t="shared" si="190"/>
        <v/>
      </c>
    </row>
    <row r="710" spans="3:27">
      <c r="C710" s="82"/>
      <c r="E710" s="30" t="str">
        <f t="shared" si="187"/>
        <v>00:00:00</v>
      </c>
      <c r="F710" s="36" t="str">
        <f t="shared" si="180"/>
        <v/>
      </c>
      <c r="G710" s="36">
        <f t="shared" si="181"/>
        <v>0</v>
      </c>
      <c r="H710" s="3" t="str">
        <f t="shared" si="182"/>
        <v/>
      </c>
      <c r="I710" s="3">
        <f t="shared" si="183"/>
        <v>0</v>
      </c>
      <c r="L710" s="35">
        <f t="shared" si="176"/>
        <v>1</v>
      </c>
      <c r="O710" s="27">
        <f t="shared" si="184"/>
        <v>0</v>
      </c>
      <c r="P710" s="3">
        <v>708</v>
      </c>
      <c r="Q710" s="3" t="e">
        <f t="shared" si="188"/>
        <v>#N/A</v>
      </c>
      <c r="R710" s="3" t="e">
        <f t="shared" si="189"/>
        <v>#N/A</v>
      </c>
      <c r="T710" s="46" t="str">
        <f t="shared" si="185"/>
        <v/>
      </c>
      <c r="U710" s="48" t="str">
        <f t="shared" si="186"/>
        <v/>
      </c>
      <c r="W710" s="56">
        <f t="shared" si="177"/>
        <v>0</v>
      </c>
      <c r="X710" s="57" t="str">
        <f t="shared" si="178"/>
        <v/>
      </c>
      <c r="Y710" s="58">
        <f t="shared" si="179"/>
        <v>0</v>
      </c>
      <c r="AA710" s="62" t="str">
        <f t="shared" si="190"/>
        <v/>
      </c>
    </row>
    <row r="711" spans="3:27">
      <c r="C711" s="82"/>
      <c r="E711" s="30" t="str">
        <f t="shared" si="187"/>
        <v>00:00:00</v>
      </c>
      <c r="F711" s="36" t="str">
        <f t="shared" si="180"/>
        <v/>
      </c>
      <c r="G711" s="36">
        <f t="shared" si="181"/>
        <v>0</v>
      </c>
      <c r="H711" s="3" t="str">
        <f t="shared" si="182"/>
        <v/>
      </c>
      <c r="I711" s="3">
        <f t="shared" si="183"/>
        <v>0</v>
      </c>
      <c r="L711" s="35">
        <f t="shared" si="176"/>
        <v>1</v>
      </c>
      <c r="O711" s="27">
        <f t="shared" si="184"/>
        <v>0</v>
      </c>
      <c r="P711" s="3">
        <v>709</v>
      </c>
      <c r="Q711" s="3" t="e">
        <f t="shared" si="188"/>
        <v>#N/A</v>
      </c>
      <c r="R711" s="3" t="e">
        <f t="shared" si="189"/>
        <v>#N/A</v>
      </c>
      <c r="T711" s="46" t="str">
        <f t="shared" si="185"/>
        <v/>
      </c>
      <c r="U711" s="48" t="str">
        <f t="shared" si="186"/>
        <v/>
      </c>
      <c r="W711" s="56">
        <f t="shared" si="177"/>
        <v>0</v>
      </c>
      <c r="X711" s="57" t="str">
        <f t="shared" si="178"/>
        <v/>
      </c>
      <c r="Y711" s="58">
        <f t="shared" si="179"/>
        <v>0</v>
      </c>
      <c r="AA711" s="62" t="str">
        <f t="shared" si="190"/>
        <v/>
      </c>
    </row>
    <row r="712" spans="3:27">
      <c r="C712" s="82"/>
      <c r="E712" s="30" t="str">
        <f t="shared" si="187"/>
        <v>00:00:00</v>
      </c>
      <c r="F712" s="36" t="str">
        <f t="shared" si="180"/>
        <v/>
      </c>
      <c r="G712" s="36">
        <f t="shared" si="181"/>
        <v>0</v>
      </c>
      <c r="H712" s="3" t="str">
        <f t="shared" si="182"/>
        <v/>
      </c>
      <c r="I712" s="3">
        <f t="shared" si="183"/>
        <v>0</v>
      </c>
      <c r="L712" s="35">
        <f t="shared" si="176"/>
        <v>1</v>
      </c>
      <c r="O712" s="27">
        <f t="shared" si="184"/>
        <v>0</v>
      </c>
      <c r="P712" s="3">
        <v>710</v>
      </c>
      <c r="Q712" s="3" t="e">
        <f t="shared" si="188"/>
        <v>#N/A</v>
      </c>
      <c r="R712" s="3" t="e">
        <f t="shared" si="189"/>
        <v>#N/A</v>
      </c>
      <c r="T712" s="46" t="str">
        <f t="shared" si="185"/>
        <v/>
      </c>
      <c r="U712" s="48" t="str">
        <f t="shared" si="186"/>
        <v/>
      </c>
      <c r="W712" s="56">
        <f t="shared" si="177"/>
        <v>0</v>
      </c>
      <c r="X712" s="57" t="str">
        <f t="shared" si="178"/>
        <v/>
      </c>
      <c r="Y712" s="58">
        <f t="shared" si="179"/>
        <v>0</v>
      </c>
      <c r="AA712" s="62" t="str">
        <f t="shared" si="190"/>
        <v/>
      </c>
    </row>
    <row r="713" spans="3:27">
      <c r="C713" s="82"/>
      <c r="E713" s="30" t="str">
        <f t="shared" si="187"/>
        <v>00:00:00</v>
      </c>
      <c r="F713" s="36" t="str">
        <f t="shared" si="180"/>
        <v/>
      </c>
      <c r="G713" s="36">
        <f t="shared" si="181"/>
        <v>0</v>
      </c>
      <c r="H713" s="3" t="str">
        <f t="shared" si="182"/>
        <v/>
      </c>
      <c r="I713" s="3">
        <f t="shared" si="183"/>
        <v>0</v>
      </c>
      <c r="L713" s="35">
        <f t="shared" si="176"/>
        <v>1</v>
      </c>
      <c r="O713" s="27">
        <f t="shared" si="184"/>
        <v>0</v>
      </c>
      <c r="P713" s="3">
        <v>711</v>
      </c>
      <c r="Q713" s="3" t="e">
        <f t="shared" si="188"/>
        <v>#N/A</v>
      </c>
      <c r="R713" s="3" t="e">
        <f t="shared" si="189"/>
        <v>#N/A</v>
      </c>
      <c r="T713" s="46" t="str">
        <f t="shared" si="185"/>
        <v/>
      </c>
      <c r="U713" s="48" t="str">
        <f t="shared" si="186"/>
        <v/>
      </c>
      <c r="W713" s="56">
        <f t="shared" si="177"/>
        <v>0</v>
      </c>
      <c r="X713" s="57" t="str">
        <f t="shared" si="178"/>
        <v/>
      </c>
      <c r="Y713" s="58">
        <f t="shared" si="179"/>
        <v>0</v>
      </c>
      <c r="AA713" s="62" t="str">
        <f t="shared" si="190"/>
        <v/>
      </c>
    </row>
    <row r="714" spans="3:27">
      <c r="C714" s="82"/>
      <c r="E714" s="30" t="str">
        <f t="shared" si="187"/>
        <v>00:00:00</v>
      </c>
      <c r="F714" s="36" t="str">
        <f t="shared" si="180"/>
        <v/>
      </c>
      <c r="G714" s="36">
        <f t="shared" si="181"/>
        <v>0</v>
      </c>
      <c r="H714" s="3" t="str">
        <f t="shared" si="182"/>
        <v/>
      </c>
      <c r="I714" s="3">
        <f t="shared" si="183"/>
        <v>0</v>
      </c>
      <c r="L714" s="35">
        <f t="shared" si="176"/>
        <v>1</v>
      </c>
      <c r="O714" s="27">
        <f t="shared" si="184"/>
        <v>0</v>
      </c>
      <c r="P714" s="3">
        <v>712</v>
      </c>
      <c r="Q714" s="3" t="e">
        <f t="shared" si="188"/>
        <v>#N/A</v>
      </c>
      <c r="R714" s="3" t="e">
        <f t="shared" si="189"/>
        <v>#N/A</v>
      </c>
      <c r="T714" s="46" t="str">
        <f t="shared" si="185"/>
        <v/>
      </c>
      <c r="U714" s="48" t="str">
        <f t="shared" si="186"/>
        <v/>
      </c>
      <c r="W714" s="56">
        <f t="shared" si="177"/>
        <v>0</v>
      </c>
      <c r="X714" s="57" t="str">
        <f t="shared" si="178"/>
        <v/>
      </c>
      <c r="Y714" s="58">
        <f t="shared" si="179"/>
        <v>0</v>
      </c>
      <c r="AA714" s="62" t="str">
        <f t="shared" si="190"/>
        <v/>
      </c>
    </row>
    <row r="715" spans="3:27">
      <c r="C715" s="82"/>
      <c r="E715" s="30" t="str">
        <f t="shared" si="187"/>
        <v>00:00:00</v>
      </c>
      <c r="F715" s="36" t="str">
        <f t="shared" si="180"/>
        <v/>
      </c>
      <c r="G715" s="36">
        <f t="shared" si="181"/>
        <v>0</v>
      </c>
      <c r="H715" s="3" t="str">
        <f t="shared" si="182"/>
        <v/>
      </c>
      <c r="I715" s="3">
        <f t="shared" si="183"/>
        <v>0</v>
      </c>
      <c r="L715" s="35">
        <f t="shared" si="176"/>
        <v>1</v>
      </c>
      <c r="O715" s="27">
        <f t="shared" si="184"/>
        <v>0</v>
      </c>
      <c r="P715" s="3">
        <v>713</v>
      </c>
      <c r="Q715" s="3" t="e">
        <f t="shared" si="188"/>
        <v>#N/A</v>
      </c>
      <c r="R715" s="3" t="e">
        <f t="shared" si="189"/>
        <v>#N/A</v>
      </c>
      <c r="T715" s="46" t="str">
        <f t="shared" si="185"/>
        <v/>
      </c>
      <c r="U715" s="48" t="str">
        <f t="shared" si="186"/>
        <v/>
      </c>
      <c r="W715" s="56">
        <f t="shared" si="177"/>
        <v>0</v>
      </c>
      <c r="X715" s="57" t="str">
        <f t="shared" si="178"/>
        <v/>
      </c>
      <c r="Y715" s="58">
        <f t="shared" si="179"/>
        <v>0</v>
      </c>
      <c r="AA715" s="62" t="str">
        <f t="shared" si="190"/>
        <v/>
      </c>
    </row>
    <row r="716" spans="3:27">
      <c r="C716" s="82"/>
      <c r="E716" s="30" t="str">
        <f t="shared" si="187"/>
        <v>00:00:00</v>
      </c>
      <c r="F716" s="36" t="str">
        <f t="shared" si="180"/>
        <v/>
      </c>
      <c r="G716" s="36">
        <f t="shared" si="181"/>
        <v>0</v>
      </c>
      <c r="H716" s="3" t="str">
        <f t="shared" si="182"/>
        <v/>
      </c>
      <c r="I716" s="3">
        <f t="shared" si="183"/>
        <v>0</v>
      </c>
      <c r="L716" s="35">
        <f t="shared" ref="L716:L779" si="191">IF(I715=1,L715+I715,L715)</f>
        <v>1</v>
      </c>
      <c r="O716" s="27">
        <f t="shared" si="184"/>
        <v>0</v>
      </c>
      <c r="P716" s="3">
        <v>714</v>
      </c>
      <c r="Q716" s="3" t="e">
        <f t="shared" si="188"/>
        <v>#N/A</v>
      </c>
      <c r="R716" s="3" t="e">
        <f t="shared" si="189"/>
        <v>#N/A</v>
      </c>
      <c r="T716" s="46" t="str">
        <f t="shared" si="185"/>
        <v/>
      </c>
      <c r="U716" s="48" t="str">
        <f t="shared" si="186"/>
        <v/>
      </c>
      <c r="W716" s="56">
        <f t="shared" si="177"/>
        <v>0</v>
      </c>
      <c r="X716" s="57" t="str">
        <f t="shared" si="178"/>
        <v/>
      </c>
      <c r="Y716" s="58">
        <f t="shared" si="179"/>
        <v>0</v>
      </c>
      <c r="AA716" s="62" t="str">
        <f t="shared" si="190"/>
        <v/>
      </c>
    </row>
    <row r="717" spans="3:27">
      <c r="C717" s="82"/>
      <c r="E717" s="30" t="str">
        <f t="shared" si="187"/>
        <v>00:00:00</v>
      </c>
      <c r="F717" s="36" t="str">
        <f t="shared" si="180"/>
        <v/>
      </c>
      <c r="G717" s="36">
        <f t="shared" si="181"/>
        <v>0</v>
      </c>
      <c r="H717" s="3" t="str">
        <f t="shared" si="182"/>
        <v/>
      </c>
      <c r="I717" s="3">
        <f t="shared" si="183"/>
        <v>0</v>
      </c>
      <c r="L717" s="35">
        <f t="shared" si="191"/>
        <v>1</v>
      </c>
      <c r="O717" s="27">
        <f t="shared" si="184"/>
        <v>0</v>
      </c>
      <c r="P717" s="3">
        <v>715</v>
      </c>
      <c r="Q717" s="3" t="e">
        <f t="shared" si="188"/>
        <v>#N/A</v>
      </c>
      <c r="R717" s="3" t="e">
        <f t="shared" si="189"/>
        <v>#N/A</v>
      </c>
      <c r="T717" s="46" t="str">
        <f t="shared" si="185"/>
        <v/>
      </c>
      <c r="U717" s="48" t="str">
        <f t="shared" si="186"/>
        <v/>
      </c>
      <c r="W717" s="56">
        <f t="shared" si="177"/>
        <v>0</v>
      </c>
      <c r="X717" s="57" t="str">
        <f t="shared" si="178"/>
        <v/>
      </c>
      <c r="Y717" s="58">
        <f t="shared" si="179"/>
        <v>0</v>
      </c>
      <c r="AA717" s="62" t="str">
        <f t="shared" si="190"/>
        <v/>
      </c>
    </row>
    <row r="718" spans="3:27">
      <c r="C718" s="82"/>
      <c r="E718" s="30" t="str">
        <f t="shared" si="187"/>
        <v>00:00:00</v>
      </c>
      <c r="F718" s="36" t="str">
        <f t="shared" si="180"/>
        <v/>
      </c>
      <c r="G718" s="36">
        <f t="shared" si="181"/>
        <v>0</v>
      </c>
      <c r="H718" s="3" t="str">
        <f t="shared" si="182"/>
        <v/>
      </c>
      <c r="I718" s="3">
        <f t="shared" si="183"/>
        <v>0</v>
      </c>
      <c r="L718" s="35">
        <f t="shared" si="191"/>
        <v>1</v>
      </c>
      <c r="O718" s="27">
        <f t="shared" si="184"/>
        <v>0</v>
      </c>
      <c r="P718" s="3">
        <v>716</v>
      </c>
      <c r="Q718" s="3" t="e">
        <f t="shared" si="188"/>
        <v>#N/A</v>
      </c>
      <c r="R718" s="3" t="e">
        <f t="shared" si="189"/>
        <v>#N/A</v>
      </c>
      <c r="T718" s="46" t="str">
        <f t="shared" si="185"/>
        <v/>
      </c>
      <c r="U718" s="48" t="str">
        <f t="shared" si="186"/>
        <v/>
      </c>
      <c r="W718" s="56">
        <f t="shared" si="177"/>
        <v>0</v>
      </c>
      <c r="X718" s="57" t="str">
        <f t="shared" si="178"/>
        <v/>
      </c>
      <c r="Y718" s="58">
        <f t="shared" si="179"/>
        <v>0</v>
      </c>
      <c r="AA718" s="62" t="str">
        <f t="shared" si="190"/>
        <v/>
      </c>
    </row>
    <row r="719" spans="3:27">
      <c r="C719" s="82"/>
      <c r="E719" s="30" t="str">
        <f t="shared" si="187"/>
        <v>00:00:00</v>
      </c>
      <c r="F719" s="36" t="str">
        <f t="shared" si="180"/>
        <v/>
      </c>
      <c r="G719" s="36">
        <f t="shared" si="181"/>
        <v>0</v>
      </c>
      <c r="H719" s="3" t="str">
        <f t="shared" si="182"/>
        <v/>
      </c>
      <c r="I719" s="3">
        <f t="shared" si="183"/>
        <v>0</v>
      </c>
      <c r="L719" s="35">
        <f t="shared" si="191"/>
        <v>1</v>
      </c>
      <c r="O719" s="27">
        <f t="shared" si="184"/>
        <v>0</v>
      </c>
      <c r="P719" s="3">
        <v>717</v>
      </c>
      <c r="Q719" s="3" t="e">
        <f t="shared" si="188"/>
        <v>#N/A</v>
      </c>
      <c r="R719" s="3" t="e">
        <f t="shared" si="189"/>
        <v>#N/A</v>
      </c>
      <c r="T719" s="46" t="str">
        <f t="shared" si="185"/>
        <v/>
      </c>
      <c r="U719" s="48" t="str">
        <f t="shared" si="186"/>
        <v/>
      </c>
      <c r="W719" s="56">
        <f t="shared" si="177"/>
        <v>0</v>
      </c>
      <c r="X719" s="57" t="str">
        <f t="shared" si="178"/>
        <v/>
      </c>
      <c r="Y719" s="58">
        <f t="shared" si="179"/>
        <v>0</v>
      </c>
      <c r="AA719" s="62" t="str">
        <f t="shared" si="190"/>
        <v/>
      </c>
    </row>
    <row r="720" spans="3:27">
      <c r="C720" s="82"/>
      <c r="E720" s="30" t="str">
        <f t="shared" si="187"/>
        <v>00:00:00</v>
      </c>
      <c r="F720" s="36" t="str">
        <f t="shared" si="180"/>
        <v/>
      </c>
      <c r="G720" s="36">
        <f t="shared" si="181"/>
        <v>0</v>
      </c>
      <c r="H720" s="3" t="str">
        <f t="shared" si="182"/>
        <v/>
      </c>
      <c r="I720" s="3">
        <f t="shared" si="183"/>
        <v>0</v>
      </c>
      <c r="L720" s="35">
        <f t="shared" si="191"/>
        <v>1</v>
      </c>
      <c r="O720" s="27">
        <f t="shared" si="184"/>
        <v>0</v>
      </c>
      <c r="P720" s="3">
        <v>718</v>
      </c>
      <c r="Q720" s="3" t="e">
        <f t="shared" si="188"/>
        <v>#N/A</v>
      </c>
      <c r="R720" s="3" t="e">
        <f t="shared" si="189"/>
        <v>#N/A</v>
      </c>
      <c r="T720" s="46" t="str">
        <f t="shared" si="185"/>
        <v/>
      </c>
      <c r="U720" s="48" t="str">
        <f t="shared" si="186"/>
        <v/>
      </c>
      <c r="W720" s="56">
        <f t="shared" si="177"/>
        <v>0</v>
      </c>
      <c r="X720" s="57" t="str">
        <f t="shared" si="178"/>
        <v/>
      </c>
      <c r="Y720" s="58">
        <f t="shared" si="179"/>
        <v>0</v>
      </c>
      <c r="AA720" s="62" t="str">
        <f t="shared" si="190"/>
        <v/>
      </c>
    </row>
    <row r="721" spans="3:27">
      <c r="C721" s="82"/>
      <c r="E721" s="30" t="str">
        <f t="shared" si="187"/>
        <v>00:00:00</v>
      </c>
      <c r="F721" s="36" t="str">
        <f t="shared" si="180"/>
        <v/>
      </c>
      <c r="G721" s="36">
        <f t="shared" si="181"/>
        <v>0</v>
      </c>
      <c r="H721" s="3" t="str">
        <f t="shared" si="182"/>
        <v/>
      </c>
      <c r="I721" s="3">
        <f t="shared" si="183"/>
        <v>0</v>
      </c>
      <c r="L721" s="35">
        <f t="shared" si="191"/>
        <v>1</v>
      </c>
      <c r="O721" s="27">
        <f t="shared" si="184"/>
        <v>0</v>
      </c>
      <c r="P721" s="3">
        <v>719</v>
      </c>
      <c r="Q721" s="3" t="e">
        <f t="shared" si="188"/>
        <v>#N/A</v>
      </c>
      <c r="R721" s="3" t="e">
        <f t="shared" si="189"/>
        <v>#N/A</v>
      </c>
      <c r="T721" s="46" t="str">
        <f t="shared" si="185"/>
        <v/>
      </c>
      <c r="U721" s="48" t="str">
        <f t="shared" si="186"/>
        <v/>
      </c>
      <c r="W721" s="56">
        <f t="shared" si="177"/>
        <v>0</v>
      </c>
      <c r="X721" s="57" t="str">
        <f t="shared" si="178"/>
        <v/>
      </c>
      <c r="Y721" s="58">
        <f t="shared" si="179"/>
        <v>0</v>
      </c>
      <c r="AA721" s="62" t="str">
        <f t="shared" si="190"/>
        <v/>
      </c>
    </row>
    <row r="722" spans="3:27">
      <c r="C722" s="82"/>
      <c r="E722" s="30" t="str">
        <f t="shared" si="187"/>
        <v>00:00:00</v>
      </c>
      <c r="F722" s="36" t="str">
        <f t="shared" si="180"/>
        <v/>
      </c>
      <c r="G722" s="36">
        <f t="shared" si="181"/>
        <v>0</v>
      </c>
      <c r="H722" s="3" t="str">
        <f t="shared" si="182"/>
        <v/>
      </c>
      <c r="I722" s="3">
        <f t="shared" si="183"/>
        <v>0</v>
      </c>
      <c r="L722" s="35">
        <f t="shared" si="191"/>
        <v>1</v>
      </c>
      <c r="O722" s="27">
        <f t="shared" si="184"/>
        <v>0</v>
      </c>
      <c r="P722" s="3">
        <v>720</v>
      </c>
      <c r="Q722" s="3" t="e">
        <f t="shared" si="188"/>
        <v>#N/A</v>
      </c>
      <c r="R722" s="3" t="e">
        <f t="shared" si="189"/>
        <v>#N/A</v>
      </c>
      <c r="T722" s="46" t="str">
        <f t="shared" si="185"/>
        <v/>
      </c>
      <c r="U722" s="48" t="str">
        <f t="shared" si="186"/>
        <v/>
      </c>
      <c r="W722" s="56">
        <f t="shared" si="177"/>
        <v>0</v>
      </c>
      <c r="X722" s="57" t="str">
        <f t="shared" si="178"/>
        <v/>
      </c>
      <c r="Y722" s="58">
        <f t="shared" si="179"/>
        <v>0</v>
      </c>
      <c r="AA722" s="62" t="str">
        <f t="shared" si="190"/>
        <v/>
      </c>
    </row>
    <row r="723" spans="3:27">
      <c r="C723" s="82"/>
      <c r="E723" s="30" t="str">
        <f t="shared" si="187"/>
        <v>00:00:00</v>
      </c>
      <c r="F723" s="36" t="str">
        <f t="shared" si="180"/>
        <v/>
      </c>
      <c r="G723" s="36">
        <f t="shared" si="181"/>
        <v>0</v>
      </c>
      <c r="H723" s="3" t="str">
        <f t="shared" si="182"/>
        <v/>
      </c>
      <c r="I723" s="3">
        <f t="shared" si="183"/>
        <v>0</v>
      </c>
      <c r="L723" s="35">
        <f t="shared" si="191"/>
        <v>1</v>
      </c>
      <c r="O723" s="27">
        <f t="shared" si="184"/>
        <v>0</v>
      </c>
      <c r="P723" s="3">
        <v>721</v>
      </c>
      <c r="Q723" s="3" t="e">
        <f t="shared" si="188"/>
        <v>#N/A</v>
      </c>
      <c r="R723" s="3" t="e">
        <f t="shared" si="189"/>
        <v>#N/A</v>
      </c>
      <c r="T723" s="46" t="str">
        <f t="shared" si="185"/>
        <v/>
      </c>
      <c r="U723" s="48" t="str">
        <f t="shared" si="186"/>
        <v/>
      </c>
      <c r="W723" s="56">
        <f t="shared" si="177"/>
        <v>0</v>
      </c>
      <c r="X723" s="57" t="str">
        <f t="shared" si="178"/>
        <v/>
      </c>
      <c r="Y723" s="58">
        <f t="shared" si="179"/>
        <v>0</v>
      </c>
      <c r="AA723" s="62" t="str">
        <f t="shared" si="190"/>
        <v/>
      </c>
    </row>
    <row r="724" spans="3:27">
      <c r="C724" s="82"/>
      <c r="E724" s="30" t="str">
        <f t="shared" si="187"/>
        <v>00:00:00</v>
      </c>
      <c r="F724" s="36" t="str">
        <f t="shared" si="180"/>
        <v/>
      </c>
      <c r="G724" s="36">
        <f t="shared" si="181"/>
        <v>0</v>
      </c>
      <c r="H724" s="3" t="str">
        <f t="shared" si="182"/>
        <v/>
      </c>
      <c r="I724" s="3">
        <f t="shared" si="183"/>
        <v>0</v>
      </c>
      <c r="L724" s="35">
        <f t="shared" si="191"/>
        <v>1</v>
      </c>
      <c r="O724" s="27">
        <f t="shared" si="184"/>
        <v>0</v>
      </c>
      <c r="P724" s="3">
        <v>722</v>
      </c>
      <c r="Q724" s="3" t="e">
        <f t="shared" si="188"/>
        <v>#N/A</v>
      </c>
      <c r="R724" s="3" t="e">
        <f t="shared" si="189"/>
        <v>#N/A</v>
      </c>
      <c r="T724" s="46" t="str">
        <f t="shared" si="185"/>
        <v/>
      </c>
      <c r="U724" s="48" t="str">
        <f t="shared" si="186"/>
        <v/>
      </c>
      <c r="W724" s="56">
        <f t="shared" si="177"/>
        <v>0</v>
      </c>
      <c r="X724" s="57" t="str">
        <f t="shared" si="178"/>
        <v/>
      </c>
      <c r="Y724" s="58">
        <f t="shared" si="179"/>
        <v>0</v>
      </c>
      <c r="AA724" s="62" t="str">
        <f t="shared" si="190"/>
        <v/>
      </c>
    </row>
    <row r="725" spans="3:27">
      <c r="C725" s="82"/>
      <c r="E725" s="30" t="str">
        <f t="shared" si="187"/>
        <v>00:00:00</v>
      </c>
      <c r="F725" s="36" t="str">
        <f t="shared" si="180"/>
        <v/>
      </c>
      <c r="G725" s="36">
        <f t="shared" si="181"/>
        <v>0</v>
      </c>
      <c r="H725" s="3" t="str">
        <f t="shared" si="182"/>
        <v/>
      </c>
      <c r="I725" s="3">
        <f t="shared" si="183"/>
        <v>0</v>
      </c>
      <c r="L725" s="35">
        <f t="shared" si="191"/>
        <v>1</v>
      </c>
      <c r="O725" s="27">
        <f t="shared" si="184"/>
        <v>0</v>
      </c>
      <c r="P725" s="3">
        <v>723</v>
      </c>
      <c r="Q725" s="3" t="e">
        <f t="shared" si="188"/>
        <v>#N/A</v>
      </c>
      <c r="R725" s="3" t="e">
        <f t="shared" si="189"/>
        <v>#N/A</v>
      </c>
      <c r="T725" s="46" t="str">
        <f t="shared" si="185"/>
        <v/>
      </c>
      <c r="U725" s="48" t="str">
        <f t="shared" si="186"/>
        <v/>
      </c>
      <c r="W725" s="56">
        <f t="shared" si="177"/>
        <v>0</v>
      </c>
      <c r="X725" s="57" t="str">
        <f t="shared" si="178"/>
        <v/>
      </c>
      <c r="Y725" s="58">
        <f t="shared" si="179"/>
        <v>0</v>
      </c>
      <c r="AA725" s="62" t="str">
        <f t="shared" si="190"/>
        <v/>
      </c>
    </row>
    <row r="726" spans="3:27">
      <c r="C726" s="82"/>
      <c r="E726" s="30" t="str">
        <f t="shared" si="187"/>
        <v>00:00:00</v>
      </c>
      <c r="F726" s="36" t="str">
        <f t="shared" si="180"/>
        <v/>
      </c>
      <c r="G726" s="36">
        <f t="shared" si="181"/>
        <v>0</v>
      </c>
      <c r="H726" s="3" t="str">
        <f t="shared" si="182"/>
        <v/>
      </c>
      <c r="I726" s="3">
        <f t="shared" si="183"/>
        <v>0</v>
      </c>
      <c r="L726" s="35">
        <f t="shared" si="191"/>
        <v>1</v>
      </c>
      <c r="O726" s="27">
        <f t="shared" si="184"/>
        <v>0</v>
      </c>
      <c r="P726" s="3">
        <v>724</v>
      </c>
      <c r="Q726" s="3" t="e">
        <f t="shared" si="188"/>
        <v>#N/A</v>
      </c>
      <c r="R726" s="3" t="e">
        <f t="shared" si="189"/>
        <v>#N/A</v>
      </c>
      <c r="T726" s="46" t="str">
        <f t="shared" si="185"/>
        <v/>
      </c>
      <c r="U726" s="48" t="str">
        <f t="shared" si="186"/>
        <v/>
      </c>
      <c r="W726" s="56">
        <f t="shared" si="177"/>
        <v>0</v>
      </c>
      <c r="X726" s="57" t="str">
        <f t="shared" si="178"/>
        <v/>
      </c>
      <c r="Y726" s="58">
        <f t="shared" si="179"/>
        <v>0</v>
      </c>
      <c r="AA726" s="62" t="str">
        <f t="shared" si="190"/>
        <v/>
      </c>
    </row>
    <row r="727" spans="3:27">
      <c r="C727" s="82"/>
      <c r="E727" s="30" t="str">
        <f t="shared" si="187"/>
        <v>00:00:00</v>
      </c>
      <c r="F727" s="36" t="str">
        <f t="shared" si="180"/>
        <v/>
      </c>
      <c r="G727" s="36">
        <f t="shared" si="181"/>
        <v>0</v>
      </c>
      <c r="H727" s="3" t="str">
        <f t="shared" si="182"/>
        <v/>
      </c>
      <c r="I727" s="3">
        <f t="shared" si="183"/>
        <v>0</v>
      </c>
      <c r="L727" s="35">
        <f t="shared" si="191"/>
        <v>1</v>
      </c>
      <c r="O727" s="27">
        <f t="shared" si="184"/>
        <v>0</v>
      </c>
      <c r="P727" s="3">
        <v>725</v>
      </c>
      <c r="Q727" s="3" t="e">
        <f t="shared" si="188"/>
        <v>#N/A</v>
      </c>
      <c r="R727" s="3" t="e">
        <f t="shared" si="189"/>
        <v>#N/A</v>
      </c>
      <c r="T727" s="46" t="str">
        <f t="shared" si="185"/>
        <v/>
      </c>
      <c r="U727" s="48" t="str">
        <f t="shared" si="186"/>
        <v/>
      </c>
      <c r="W727" s="56">
        <f t="shared" si="177"/>
        <v>0</v>
      </c>
      <c r="X727" s="57" t="str">
        <f t="shared" si="178"/>
        <v/>
      </c>
      <c r="Y727" s="58">
        <f t="shared" si="179"/>
        <v>0</v>
      </c>
      <c r="AA727" s="62" t="str">
        <f t="shared" si="190"/>
        <v/>
      </c>
    </row>
    <row r="728" spans="3:27">
      <c r="C728" s="82"/>
      <c r="E728" s="30" t="str">
        <f t="shared" si="187"/>
        <v>00:00:00</v>
      </c>
      <c r="F728" s="36" t="str">
        <f t="shared" si="180"/>
        <v/>
      </c>
      <c r="G728" s="36">
        <f t="shared" si="181"/>
        <v>0</v>
      </c>
      <c r="H728" s="3" t="str">
        <f t="shared" si="182"/>
        <v/>
      </c>
      <c r="I728" s="3">
        <f t="shared" si="183"/>
        <v>0</v>
      </c>
      <c r="L728" s="35">
        <f t="shared" si="191"/>
        <v>1</v>
      </c>
      <c r="O728" s="27">
        <f t="shared" si="184"/>
        <v>0</v>
      </c>
      <c r="P728" s="3">
        <v>726</v>
      </c>
      <c r="Q728" s="3" t="e">
        <f t="shared" si="188"/>
        <v>#N/A</v>
      </c>
      <c r="R728" s="3" t="e">
        <f t="shared" si="189"/>
        <v>#N/A</v>
      </c>
      <c r="T728" s="46" t="str">
        <f t="shared" si="185"/>
        <v/>
      </c>
      <c r="U728" s="48" t="str">
        <f t="shared" si="186"/>
        <v/>
      </c>
      <c r="W728" s="56">
        <f t="shared" si="177"/>
        <v>0</v>
      </c>
      <c r="X728" s="57" t="str">
        <f t="shared" si="178"/>
        <v/>
      </c>
      <c r="Y728" s="58">
        <f t="shared" si="179"/>
        <v>0</v>
      </c>
      <c r="AA728" s="62" t="str">
        <f t="shared" si="190"/>
        <v/>
      </c>
    </row>
    <row r="729" spans="3:27">
      <c r="C729" s="82"/>
      <c r="E729" s="30" t="str">
        <f t="shared" si="187"/>
        <v>00:00:00</v>
      </c>
      <c r="F729" s="36" t="str">
        <f t="shared" si="180"/>
        <v/>
      </c>
      <c r="G729" s="36">
        <f t="shared" si="181"/>
        <v>0</v>
      </c>
      <c r="H729" s="3" t="str">
        <f t="shared" si="182"/>
        <v/>
      </c>
      <c r="I729" s="3">
        <f t="shared" si="183"/>
        <v>0</v>
      </c>
      <c r="L729" s="35">
        <f t="shared" si="191"/>
        <v>1</v>
      </c>
      <c r="O729" s="27">
        <f t="shared" si="184"/>
        <v>0</v>
      </c>
      <c r="P729" s="3">
        <v>727</v>
      </c>
      <c r="Q729" s="3" t="e">
        <f t="shared" si="188"/>
        <v>#N/A</v>
      </c>
      <c r="R729" s="3" t="e">
        <f t="shared" si="189"/>
        <v>#N/A</v>
      </c>
      <c r="T729" s="46" t="str">
        <f t="shared" si="185"/>
        <v/>
      </c>
      <c r="U729" s="48" t="str">
        <f t="shared" si="186"/>
        <v/>
      </c>
      <c r="W729" s="56">
        <f t="shared" si="177"/>
        <v>0</v>
      </c>
      <c r="X729" s="57" t="str">
        <f t="shared" si="178"/>
        <v/>
      </c>
      <c r="Y729" s="58">
        <f t="shared" si="179"/>
        <v>0</v>
      </c>
      <c r="AA729" s="62" t="str">
        <f t="shared" si="190"/>
        <v/>
      </c>
    </row>
    <row r="730" spans="3:27">
      <c r="C730" s="82"/>
      <c r="E730" s="30" t="str">
        <f t="shared" si="187"/>
        <v>00:00:00</v>
      </c>
      <c r="F730" s="36" t="str">
        <f t="shared" si="180"/>
        <v/>
      </c>
      <c r="G730" s="36">
        <f t="shared" si="181"/>
        <v>0</v>
      </c>
      <c r="H730" s="3" t="str">
        <f t="shared" si="182"/>
        <v/>
      </c>
      <c r="I730" s="3">
        <f t="shared" si="183"/>
        <v>0</v>
      </c>
      <c r="L730" s="35">
        <f t="shared" si="191"/>
        <v>1</v>
      </c>
      <c r="O730" s="27">
        <f t="shared" si="184"/>
        <v>0</v>
      </c>
      <c r="P730" s="3">
        <v>728</v>
      </c>
      <c r="Q730" s="3" t="e">
        <f t="shared" si="188"/>
        <v>#N/A</v>
      </c>
      <c r="R730" s="3" t="e">
        <f t="shared" si="189"/>
        <v>#N/A</v>
      </c>
      <c r="T730" s="46" t="str">
        <f t="shared" si="185"/>
        <v/>
      </c>
      <c r="U730" s="48" t="str">
        <f t="shared" si="186"/>
        <v/>
      </c>
      <c r="W730" s="56">
        <f t="shared" si="177"/>
        <v>0</v>
      </c>
      <c r="X730" s="57" t="str">
        <f t="shared" si="178"/>
        <v/>
      </c>
      <c r="Y730" s="58">
        <f t="shared" si="179"/>
        <v>0</v>
      </c>
      <c r="AA730" s="62" t="str">
        <f t="shared" si="190"/>
        <v/>
      </c>
    </row>
    <row r="731" spans="3:27">
      <c r="C731" s="82"/>
      <c r="E731" s="30" t="str">
        <f t="shared" si="187"/>
        <v>00:00:00</v>
      </c>
      <c r="F731" s="36" t="str">
        <f t="shared" si="180"/>
        <v/>
      </c>
      <c r="G731" s="36">
        <f t="shared" si="181"/>
        <v>0</v>
      </c>
      <c r="H731" s="3" t="str">
        <f t="shared" si="182"/>
        <v/>
      </c>
      <c r="I731" s="3">
        <f t="shared" si="183"/>
        <v>0</v>
      </c>
      <c r="L731" s="35">
        <f t="shared" si="191"/>
        <v>1</v>
      </c>
      <c r="O731" s="27">
        <f t="shared" si="184"/>
        <v>0</v>
      </c>
      <c r="P731" s="3">
        <v>729</v>
      </c>
      <c r="Q731" s="3" t="e">
        <f t="shared" si="188"/>
        <v>#N/A</v>
      </c>
      <c r="R731" s="3" t="e">
        <f t="shared" si="189"/>
        <v>#N/A</v>
      </c>
      <c r="T731" s="46" t="str">
        <f t="shared" si="185"/>
        <v/>
      </c>
      <c r="U731" s="48" t="str">
        <f t="shared" si="186"/>
        <v/>
      </c>
      <c r="W731" s="56">
        <f t="shared" si="177"/>
        <v>0</v>
      </c>
      <c r="X731" s="57" t="str">
        <f t="shared" si="178"/>
        <v/>
      </c>
      <c r="Y731" s="58">
        <f t="shared" si="179"/>
        <v>0</v>
      </c>
      <c r="AA731" s="62" t="str">
        <f t="shared" si="190"/>
        <v/>
      </c>
    </row>
    <row r="732" spans="3:27">
      <c r="C732" s="82"/>
      <c r="E732" s="30" t="str">
        <f t="shared" si="187"/>
        <v>00:00:00</v>
      </c>
      <c r="F732" s="36" t="str">
        <f t="shared" si="180"/>
        <v/>
      </c>
      <c r="G732" s="36">
        <f t="shared" si="181"/>
        <v>0</v>
      </c>
      <c r="H732" s="3" t="str">
        <f t="shared" si="182"/>
        <v/>
      </c>
      <c r="I732" s="3">
        <f t="shared" si="183"/>
        <v>0</v>
      </c>
      <c r="L732" s="35">
        <f t="shared" si="191"/>
        <v>1</v>
      </c>
      <c r="O732" s="27">
        <f t="shared" si="184"/>
        <v>0</v>
      </c>
      <c r="P732" s="3">
        <v>730</v>
      </c>
      <c r="Q732" s="3" t="e">
        <f t="shared" si="188"/>
        <v>#N/A</v>
      </c>
      <c r="R732" s="3" t="e">
        <f t="shared" si="189"/>
        <v>#N/A</v>
      </c>
      <c r="T732" s="46" t="str">
        <f t="shared" si="185"/>
        <v/>
      </c>
      <c r="U732" s="48" t="str">
        <f t="shared" si="186"/>
        <v/>
      </c>
      <c r="W732" s="56">
        <f t="shared" si="177"/>
        <v>0</v>
      </c>
      <c r="X732" s="57" t="str">
        <f t="shared" si="178"/>
        <v/>
      </c>
      <c r="Y732" s="58">
        <f t="shared" si="179"/>
        <v>0</v>
      </c>
      <c r="AA732" s="62" t="str">
        <f t="shared" si="190"/>
        <v/>
      </c>
    </row>
    <row r="733" spans="3:27">
      <c r="C733" s="82"/>
      <c r="E733" s="30" t="str">
        <f t="shared" si="187"/>
        <v>00:00:00</v>
      </c>
      <c r="F733" s="36" t="str">
        <f t="shared" si="180"/>
        <v/>
      </c>
      <c r="G733" s="36">
        <f t="shared" si="181"/>
        <v>0</v>
      </c>
      <c r="H733" s="3" t="str">
        <f t="shared" si="182"/>
        <v/>
      </c>
      <c r="I733" s="3">
        <f t="shared" si="183"/>
        <v>0</v>
      </c>
      <c r="L733" s="35">
        <f t="shared" si="191"/>
        <v>1</v>
      </c>
      <c r="O733" s="27">
        <f t="shared" si="184"/>
        <v>0</v>
      </c>
      <c r="P733" s="3">
        <v>731</v>
      </c>
      <c r="Q733" s="3" t="e">
        <f t="shared" si="188"/>
        <v>#N/A</v>
      </c>
      <c r="R733" s="3" t="e">
        <f t="shared" si="189"/>
        <v>#N/A</v>
      </c>
      <c r="T733" s="46" t="str">
        <f t="shared" si="185"/>
        <v/>
      </c>
      <c r="U733" s="48" t="str">
        <f t="shared" si="186"/>
        <v/>
      </c>
      <c r="W733" s="56">
        <f t="shared" si="177"/>
        <v>0</v>
      </c>
      <c r="X733" s="57" t="str">
        <f t="shared" si="178"/>
        <v/>
      </c>
      <c r="Y733" s="58">
        <f t="shared" si="179"/>
        <v>0</v>
      </c>
      <c r="AA733" s="62" t="str">
        <f t="shared" si="190"/>
        <v/>
      </c>
    </row>
    <row r="734" spans="3:27">
      <c r="C734" s="82"/>
      <c r="E734" s="30" t="str">
        <f t="shared" si="187"/>
        <v>00:00:00</v>
      </c>
      <c r="F734" s="36" t="str">
        <f t="shared" si="180"/>
        <v/>
      </c>
      <c r="G734" s="36">
        <f t="shared" si="181"/>
        <v>0</v>
      </c>
      <c r="H734" s="3" t="str">
        <f t="shared" si="182"/>
        <v/>
      </c>
      <c r="I734" s="3">
        <f t="shared" si="183"/>
        <v>0</v>
      </c>
      <c r="L734" s="35">
        <f t="shared" si="191"/>
        <v>1</v>
      </c>
      <c r="O734" s="27">
        <f t="shared" si="184"/>
        <v>0</v>
      </c>
      <c r="P734" s="3">
        <v>732</v>
      </c>
      <c r="Q734" s="3" t="e">
        <f t="shared" si="188"/>
        <v>#N/A</v>
      </c>
      <c r="R734" s="3" t="e">
        <f t="shared" si="189"/>
        <v>#N/A</v>
      </c>
      <c r="T734" s="46" t="str">
        <f t="shared" si="185"/>
        <v/>
      </c>
      <c r="U734" s="48" t="str">
        <f t="shared" si="186"/>
        <v/>
      </c>
      <c r="W734" s="56">
        <f t="shared" si="177"/>
        <v>0</v>
      </c>
      <c r="X734" s="57" t="str">
        <f t="shared" si="178"/>
        <v/>
      </c>
      <c r="Y734" s="58">
        <f t="shared" si="179"/>
        <v>0</v>
      </c>
      <c r="AA734" s="62" t="str">
        <f t="shared" si="190"/>
        <v/>
      </c>
    </row>
    <row r="735" spans="3:27">
      <c r="C735" s="82"/>
      <c r="E735" s="30" t="str">
        <f t="shared" si="187"/>
        <v>00:00:00</v>
      </c>
      <c r="F735" s="36" t="str">
        <f t="shared" si="180"/>
        <v/>
      </c>
      <c r="G735" s="36">
        <f t="shared" si="181"/>
        <v>0</v>
      </c>
      <c r="H735" s="3" t="str">
        <f t="shared" si="182"/>
        <v/>
      </c>
      <c r="I735" s="3">
        <f t="shared" si="183"/>
        <v>0</v>
      </c>
      <c r="L735" s="35">
        <f t="shared" si="191"/>
        <v>1</v>
      </c>
      <c r="O735" s="27">
        <f t="shared" si="184"/>
        <v>0</v>
      </c>
      <c r="P735" s="3">
        <v>733</v>
      </c>
      <c r="Q735" s="3" t="e">
        <f t="shared" si="188"/>
        <v>#N/A</v>
      </c>
      <c r="R735" s="3" t="e">
        <f t="shared" si="189"/>
        <v>#N/A</v>
      </c>
      <c r="T735" s="46" t="str">
        <f t="shared" si="185"/>
        <v/>
      </c>
      <c r="U735" s="48" t="str">
        <f t="shared" si="186"/>
        <v/>
      </c>
      <c r="W735" s="56">
        <f t="shared" si="177"/>
        <v>0</v>
      </c>
      <c r="X735" s="57" t="str">
        <f t="shared" si="178"/>
        <v/>
      </c>
      <c r="Y735" s="58">
        <f t="shared" si="179"/>
        <v>0</v>
      </c>
      <c r="AA735" s="62" t="str">
        <f t="shared" si="190"/>
        <v/>
      </c>
    </row>
    <row r="736" spans="3:27">
      <c r="C736" s="82"/>
      <c r="E736" s="30" t="str">
        <f t="shared" si="187"/>
        <v>00:00:00</v>
      </c>
      <c r="F736" s="36" t="str">
        <f t="shared" si="180"/>
        <v/>
      </c>
      <c r="G736" s="36">
        <f t="shared" si="181"/>
        <v>0</v>
      </c>
      <c r="H736" s="3" t="str">
        <f t="shared" si="182"/>
        <v/>
      </c>
      <c r="I736" s="3">
        <f t="shared" si="183"/>
        <v>0</v>
      </c>
      <c r="L736" s="35">
        <f t="shared" si="191"/>
        <v>1</v>
      </c>
      <c r="O736" s="27">
        <f t="shared" si="184"/>
        <v>0</v>
      </c>
      <c r="P736" s="3">
        <v>734</v>
      </c>
      <c r="Q736" s="3" t="e">
        <f t="shared" si="188"/>
        <v>#N/A</v>
      </c>
      <c r="R736" s="3" t="e">
        <f t="shared" si="189"/>
        <v>#N/A</v>
      </c>
      <c r="T736" s="46" t="str">
        <f t="shared" si="185"/>
        <v/>
      </c>
      <c r="U736" s="48" t="str">
        <f t="shared" si="186"/>
        <v/>
      </c>
      <c r="W736" s="56">
        <f t="shared" si="177"/>
        <v>0</v>
      </c>
      <c r="X736" s="57" t="str">
        <f t="shared" si="178"/>
        <v/>
      </c>
      <c r="Y736" s="58">
        <f t="shared" si="179"/>
        <v>0</v>
      </c>
      <c r="AA736" s="62" t="str">
        <f t="shared" si="190"/>
        <v/>
      </c>
    </row>
    <row r="737" spans="3:27">
      <c r="C737" s="82"/>
      <c r="E737" s="30" t="str">
        <f t="shared" si="187"/>
        <v>00:00:00</v>
      </c>
      <c r="F737" s="36" t="str">
        <f t="shared" si="180"/>
        <v/>
      </c>
      <c r="G737" s="36">
        <f t="shared" si="181"/>
        <v>0</v>
      </c>
      <c r="H737" s="3" t="str">
        <f t="shared" si="182"/>
        <v/>
      </c>
      <c r="I737" s="3">
        <f t="shared" si="183"/>
        <v>0</v>
      </c>
      <c r="L737" s="35">
        <f t="shared" si="191"/>
        <v>1</v>
      </c>
      <c r="O737" s="27">
        <f t="shared" si="184"/>
        <v>0</v>
      </c>
      <c r="P737" s="3">
        <v>735</v>
      </c>
      <c r="Q737" s="3" t="e">
        <f t="shared" si="188"/>
        <v>#N/A</v>
      </c>
      <c r="R737" s="3" t="e">
        <f t="shared" si="189"/>
        <v>#N/A</v>
      </c>
      <c r="T737" s="46" t="str">
        <f t="shared" si="185"/>
        <v/>
      </c>
      <c r="U737" s="48" t="str">
        <f t="shared" si="186"/>
        <v/>
      </c>
      <c r="W737" s="56">
        <f t="shared" si="177"/>
        <v>0</v>
      </c>
      <c r="X737" s="57" t="str">
        <f t="shared" si="178"/>
        <v/>
      </c>
      <c r="Y737" s="58">
        <f t="shared" si="179"/>
        <v>0</v>
      </c>
      <c r="AA737" s="62" t="str">
        <f t="shared" si="190"/>
        <v/>
      </c>
    </row>
    <row r="738" spans="3:27">
      <c r="C738" s="82"/>
      <c r="E738" s="30" t="str">
        <f t="shared" si="187"/>
        <v>00:00:00</v>
      </c>
      <c r="F738" s="36" t="str">
        <f t="shared" si="180"/>
        <v/>
      </c>
      <c r="G738" s="36">
        <f t="shared" si="181"/>
        <v>0</v>
      </c>
      <c r="H738" s="3" t="str">
        <f t="shared" si="182"/>
        <v/>
      </c>
      <c r="I738" s="3">
        <f t="shared" si="183"/>
        <v>0</v>
      </c>
      <c r="L738" s="35">
        <f t="shared" si="191"/>
        <v>1</v>
      </c>
      <c r="O738" s="27">
        <f t="shared" si="184"/>
        <v>0</v>
      </c>
      <c r="P738" s="3">
        <v>736</v>
      </c>
      <c r="Q738" s="3" t="e">
        <f t="shared" si="188"/>
        <v>#N/A</v>
      </c>
      <c r="R738" s="3" t="e">
        <f t="shared" si="189"/>
        <v>#N/A</v>
      </c>
      <c r="T738" s="46" t="str">
        <f t="shared" si="185"/>
        <v/>
      </c>
      <c r="U738" s="48" t="str">
        <f t="shared" si="186"/>
        <v/>
      </c>
      <c r="W738" s="56">
        <f t="shared" si="177"/>
        <v>0</v>
      </c>
      <c r="X738" s="57" t="str">
        <f t="shared" si="178"/>
        <v/>
      </c>
      <c r="Y738" s="58">
        <f t="shared" si="179"/>
        <v>0</v>
      </c>
      <c r="AA738" s="62" t="str">
        <f t="shared" si="190"/>
        <v/>
      </c>
    </row>
    <row r="739" spans="3:27">
      <c r="C739" s="82"/>
      <c r="E739" s="30" t="str">
        <f t="shared" si="187"/>
        <v>00:00:00</v>
      </c>
      <c r="F739" s="36" t="str">
        <f t="shared" si="180"/>
        <v/>
      </c>
      <c r="G739" s="36">
        <f t="shared" si="181"/>
        <v>0</v>
      </c>
      <c r="H739" s="3" t="str">
        <f t="shared" si="182"/>
        <v/>
      </c>
      <c r="I739" s="3">
        <f t="shared" si="183"/>
        <v>0</v>
      </c>
      <c r="L739" s="35">
        <f t="shared" si="191"/>
        <v>1</v>
      </c>
      <c r="O739" s="27">
        <f t="shared" si="184"/>
        <v>0</v>
      </c>
      <c r="P739" s="3">
        <v>737</v>
      </c>
      <c r="Q739" s="3" t="e">
        <f t="shared" si="188"/>
        <v>#N/A</v>
      </c>
      <c r="R739" s="3" t="e">
        <f t="shared" si="189"/>
        <v>#N/A</v>
      </c>
      <c r="T739" s="46" t="str">
        <f t="shared" si="185"/>
        <v/>
      </c>
      <c r="U739" s="48" t="str">
        <f t="shared" si="186"/>
        <v/>
      </c>
      <c r="W739" s="56">
        <f t="shared" si="177"/>
        <v>0</v>
      </c>
      <c r="X739" s="57" t="str">
        <f t="shared" si="178"/>
        <v/>
      </c>
      <c r="Y739" s="58">
        <f t="shared" si="179"/>
        <v>0</v>
      </c>
      <c r="AA739" s="62" t="str">
        <f t="shared" si="190"/>
        <v/>
      </c>
    </row>
    <row r="740" spans="3:27">
      <c r="C740" s="82"/>
      <c r="E740" s="30" t="str">
        <f t="shared" si="187"/>
        <v>00:00:00</v>
      </c>
      <c r="F740" s="36" t="str">
        <f t="shared" si="180"/>
        <v/>
      </c>
      <c r="G740" s="36">
        <f t="shared" si="181"/>
        <v>0</v>
      </c>
      <c r="H740" s="3" t="str">
        <f t="shared" si="182"/>
        <v/>
      </c>
      <c r="I740" s="3">
        <f t="shared" si="183"/>
        <v>0</v>
      </c>
      <c r="L740" s="35">
        <f t="shared" si="191"/>
        <v>1</v>
      </c>
      <c r="O740" s="27">
        <f t="shared" si="184"/>
        <v>0</v>
      </c>
      <c r="P740" s="3">
        <v>738</v>
      </c>
      <c r="Q740" s="3" t="e">
        <f t="shared" si="188"/>
        <v>#N/A</v>
      </c>
      <c r="R740" s="3" t="e">
        <f t="shared" si="189"/>
        <v>#N/A</v>
      </c>
      <c r="T740" s="46" t="str">
        <f t="shared" si="185"/>
        <v/>
      </c>
      <c r="U740" s="48" t="str">
        <f t="shared" si="186"/>
        <v/>
      </c>
      <c r="W740" s="56">
        <f t="shared" si="177"/>
        <v>0</v>
      </c>
      <c r="X740" s="57" t="str">
        <f t="shared" si="178"/>
        <v/>
      </c>
      <c r="Y740" s="58">
        <f t="shared" si="179"/>
        <v>0</v>
      </c>
      <c r="AA740" s="62" t="str">
        <f t="shared" si="190"/>
        <v/>
      </c>
    </row>
    <row r="741" spans="3:27">
      <c r="C741" s="82"/>
      <c r="E741" s="30" t="str">
        <f t="shared" si="187"/>
        <v>00:00:00</v>
      </c>
      <c r="F741" s="36" t="str">
        <f t="shared" si="180"/>
        <v/>
      </c>
      <c r="G741" s="36">
        <f t="shared" si="181"/>
        <v>0</v>
      </c>
      <c r="H741" s="3" t="str">
        <f t="shared" si="182"/>
        <v/>
      </c>
      <c r="I741" s="3">
        <f t="shared" si="183"/>
        <v>0</v>
      </c>
      <c r="L741" s="35">
        <f t="shared" si="191"/>
        <v>1</v>
      </c>
      <c r="O741" s="27">
        <f t="shared" si="184"/>
        <v>0</v>
      </c>
      <c r="P741" s="3">
        <v>739</v>
      </c>
      <c r="Q741" s="3" t="e">
        <f t="shared" si="188"/>
        <v>#N/A</v>
      </c>
      <c r="R741" s="3" t="e">
        <f t="shared" si="189"/>
        <v>#N/A</v>
      </c>
      <c r="T741" s="46" t="str">
        <f t="shared" si="185"/>
        <v/>
      </c>
      <c r="U741" s="48" t="str">
        <f t="shared" si="186"/>
        <v/>
      </c>
      <c r="W741" s="56">
        <f t="shared" si="177"/>
        <v>0</v>
      </c>
      <c r="X741" s="57" t="str">
        <f t="shared" si="178"/>
        <v/>
      </c>
      <c r="Y741" s="58">
        <f t="shared" si="179"/>
        <v>0</v>
      </c>
      <c r="AA741" s="62" t="str">
        <f t="shared" si="190"/>
        <v/>
      </c>
    </row>
    <row r="742" spans="3:27">
      <c r="C742" s="82"/>
      <c r="E742" s="30" t="str">
        <f t="shared" si="187"/>
        <v>00:00:00</v>
      </c>
      <c r="F742" s="36" t="str">
        <f t="shared" si="180"/>
        <v/>
      </c>
      <c r="G742" s="36">
        <f t="shared" si="181"/>
        <v>0</v>
      </c>
      <c r="H742" s="3" t="str">
        <f t="shared" si="182"/>
        <v/>
      </c>
      <c r="I742" s="3">
        <f t="shared" si="183"/>
        <v>0</v>
      </c>
      <c r="L742" s="35">
        <f t="shared" si="191"/>
        <v>1</v>
      </c>
      <c r="O742" s="27">
        <f t="shared" si="184"/>
        <v>0</v>
      </c>
      <c r="P742" s="3">
        <v>740</v>
      </c>
      <c r="Q742" s="3" t="e">
        <f t="shared" si="188"/>
        <v>#N/A</v>
      </c>
      <c r="R742" s="3" t="e">
        <f t="shared" si="189"/>
        <v>#N/A</v>
      </c>
      <c r="T742" s="46" t="str">
        <f t="shared" si="185"/>
        <v/>
      </c>
      <c r="U742" s="48" t="str">
        <f t="shared" si="186"/>
        <v/>
      </c>
      <c r="W742" s="56">
        <f t="shared" si="177"/>
        <v>0</v>
      </c>
      <c r="X742" s="57" t="str">
        <f t="shared" si="178"/>
        <v/>
      </c>
      <c r="Y742" s="58">
        <f t="shared" si="179"/>
        <v>0</v>
      </c>
      <c r="AA742" s="62" t="str">
        <f t="shared" si="190"/>
        <v/>
      </c>
    </row>
    <row r="743" spans="3:27">
      <c r="C743" s="82"/>
      <c r="E743" s="30" t="str">
        <f t="shared" si="187"/>
        <v>00:00:00</v>
      </c>
      <c r="F743" s="36" t="str">
        <f t="shared" si="180"/>
        <v/>
      </c>
      <c r="G743" s="36">
        <f t="shared" si="181"/>
        <v>0</v>
      </c>
      <c r="H743" s="3" t="str">
        <f t="shared" si="182"/>
        <v/>
      </c>
      <c r="I743" s="3">
        <f t="shared" si="183"/>
        <v>0</v>
      </c>
      <c r="L743" s="35">
        <f t="shared" si="191"/>
        <v>1</v>
      </c>
      <c r="O743" s="27">
        <f t="shared" si="184"/>
        <v>0</v>
      </c>
      <c r="P743" s="3">
        <v>741</v>
      </c>
      <c r="Q743" s="3" t="e">
        <f t="shared" si="188"/>
        <v>#N/A</v>
      </c>
      <c r="R743" s="3" t="e">
        <f t="shared" si="189"/>
        <v>#N/A</v>
      </c>
      <c r="T743" s="46" t="str">
        <f t="shared" si="185"/>
        <v/>
      </c>
      <c r="U743" s="48" t="str">
        <f t="shared" si="186"/>
        <v/>
      </c>
      <c r="W743" s="56">
        <f t="shared" si="177"/>
        <v>0</v>
      </c>
      <c r="X743" s="57" t="str">
        <f t="shared" si="178"/>
        <v/>
      </c>
      <c r="Y743" s="58">
        <f t="shared" si="179"/>
        <v>0</v>
      </c>
      <c r="AA743" s="62" t="str">
        <f t="shared" si="190"/>
        <v/>
      </c>
    </row>
    <row r="744" spans="3:27">
      <c r="C744" s="82"/>
      <c r="E744" s="30" t="str">
        <f t="shared" si="187"/>
        <v>00:00:00</v>
      </c>
      <c r="F744" s="36" t="str">
        <f t="shared" si="180"/>
        <v/>
      </c>
      <c r="G744" s="36">
        <f t="shared" si="181"/>
        <v>0</v>
      </c>
      <c r="H744" s="3" t="str">
        <f t="shared" si="182"/>
        <v/>
      </c>
      <c r="I744" s="3">
        <f t="shared" si="183"/>
        <v>0</v>
      </c>
      <c r="L744" s="35">
        <f t="shared" si="191"/>
        <v>1</v>
      </c>
      <c r="O744" s="27">
        <f t="shared" si="184"/>
        <v>0</v>
      </c>
      <c r="P744" s="3">
        <v>742</v>
      </c>
      <c r="Q744" s="3" t="e">
        <f t="shared" si="188"/>
        <v>#N/A</v>
      </c>
      <c r="R744" s="3" t="e">
        <f t="shared" si="189"/>
        <v>#N/A</v>
      </c>
      <c r="T744" s="46" t="str">
        <f t="shared" si="185"/>
        <v/>
      </c>
      <c r="U744" s="48" t="str">
        <f t="shared" si="186"/>
        <v/>
      </c>
      <c r="W744" s="56">
        <f t="shared" si="177"/>
        <v>0</v>
      </c>
      <c r="X744" s="57" t="str">
        <f t="shared" si="178"/>
        <v/>
      </c>
      <c r="Y744" s="58">
        <f t="shared" si="179"/>
        <v>0</v>
      </c>
      <c r="AA744" s="62" t="str">
        <f t="shared" si="190"/>
        <v/>
      </c>
    </row>
    <row r="745" spans="3:27">
      <c r="C745" s="82"/>
      <c r="E745" s="30" t="str">
        <f t="shared" si="187"/>
        <v>00:00:00</v>
      </c>
      <c r="F745" s="36" t="str">
        <f t="shared" si="180"/>
        <v/>
      </c>
      <c r="G745" s="36">
        <f t="shared" si="181"/>
        <v>0</v>
      </c>
      <c r="H745" s="3" t="str">
        <f t="shared" si="182"/>
        <v/>
      </c>
      <c r="I745" s="3">
        <f t="shared" si="183"/>
        <v>0</v>
      </c>
      <c r="L745" s="35">
        <f t="shared" si="191"/>
        <v>1</v>
      </c>
      <c r="O745" s="27">
        <f t="shared" si="184"/>
        <v>0</v>
      </c>
      <c r="P745" s="3">
        <v>743</v>
      </c>
      <c r="Q745" s="3" t="e">
        <f t="shared" si="188"/>
        <v>#N/A</v>
      </c>
      <c r="R745" s="3" t="e">
        <f t="shared" si="189"/>
        <v>#N/A</v>
      </c>
      <c r="T745" s="46" t="str">
        <f t="shared" si="185"/>
        <v/>
      </c>
      <c r="U745" s="48" t="str">
        <f t="shared" si="186"/>
        <v/>
      </c>
      <c r="W745" s="56">
        <f t="shared" si="177"/>
        <v>0</v>
      </c>
      <c r="X745" s="57" t="str">
        <f t="shared" si="178"/>
        <v/>
      </c>
      <c r="Y745" s="58">
        <f t="shared" si="179"/>
        <v>0</v>
      </c>
      <c r="AA745" s="62" t="str">
        <f t="shared" si="190"/>
        <v/>
      </c>
    </row>
    <row r="746" spans="3:27">
      <c r="C746" s="82"/>
      <c r="E746" s="30" t="str">
        <f t="shared" si="187"/>
        <v>00:00:00</v>
      </c>
      <c r="F746" s="36" t="str">
        <f t="shared" si="180"/>
        <v/>
      </c>
      <c r="G746" s="36">
        <f t="shared" si="181"/>
        <v>0</v>
      </c>
      <c r="H746" s="3" t="str">
        <f t="shared" si="182"/>
        <v/>
      </c>
      <c r="I746" s="3">
        <f t="shared" si="183"/>
        <v>0</v>
      </c>
      <c r="L746" s="35">
        <f t="shared" si="191"/>
        <v>1</v>
      </c>
      <c r="O746" s="27">
        <f t="shared" si="184"/>
        <v>0</v>
      </c>
      <c r="P746" s="3">
        <v>744</v>
      </c>
      <c r="Q746" s="3" t="e">
        <f t="shared" si="188"/>
        <v>#N/A</v>
      </c>
      <c r="R746" s="3" t="e">
        <f t="shared" si="189"/>
        <v>#N/A</v>
      </c>
      <c r="T746" s="46" t="str">
        <f t="shared" si="185"/>
        <v/>
      </c>
      <c r="U746" s="48" t="str">
        <f t="shared" si="186"/>
        <v/>
      </c>
      <c r="W746" s="56">
        <f t="shared" si="177"/>
        <v>0</v>
      </c>
      <c r="X746" s="57" t="str">
        <f t="shared" si="178"/>
        <v/>
      </c>
      <c r="Y746" s="58">
        <f t="shared" si="179"/>
        <v>0</v>
      </c>
      <c r="AA746" s="62" t="str">
        <f t="shared" si="190"/>
        <v/>
      </c>
    </row>
    <row r="747" spans="3:27">
      <c r="C747" s="82"/>
      <c r="E747" s="30" t="str">
        <f t="shared" si="187"/>
        <v>00:00:00</v>
      </c>
      <c r="F747" s="36" t="str">
        <f t="shared" si="180"/>
        <v/>
      </c>
      <c r="G747" s="36">
        <f t="shared" si="181"/>
        <v>0</v>
      </c>
      <c r="H747" s="3" t="str">
        <f t="shared" si="182"/>
        <v/>
      </c>
      <c r="I747" s="3">
        <f t="shared" si="183"/>
        <v>0</v>
      </c>
      <c r="L747" s="35">
        <f t="shared" si="191"/>
        <v>1</v>
      </c>
      <c r="O747" s="27">
        <f t="shared" si="184"/>
        <v>0</v>
      </c>
      <c r="P747" s="3">
        <v>745</v>
      </c>
      <c r="Q747" s="3" t="e">
        <f t="shared" si="188"/>
        <v>#N/A</v>
      </c>
      <c r="R747" s="3" t="e">
        <f t="shared" si="189"/>
        <v>#N/A</v>
      </c>
      <c r="T747" s="46" t="str">
        <f t="shared" si="185"/>
        <v/>
      </c>
      <c r="U747" s="48" t="str">
        <f t="shared" si="186"/>
        <v/>
      </c>
      <c r="W747" s="56">
        <f t="shared" si="177"/>
        <v>0</v>
      </c>
      <c r="X747" s="57" t="str">
        <f t="shared" si="178"/>
        <v/>
      </c>
      <c r="Y747" s="58">
        <f t="shared" si="179"/>
        <v>0</v>
      </c>
      <c r="AA747" s="62" t="str">
        <f t="shared" si="190"/>
        <v/>
      </c>
    </row>
    <row r="748" spans="3:27">
      <c r="C748" s="82"/>
      <c r="E748" s="30" t="str">
        <f t="shared" si="187"/>
        <v>00:00:00</v>
      </c>
      <c r="F748" s="36" t="str">
        <f t="shared" si="180"/>
        <v/>
      </c>
      <c r="G748" s="36">
        <f t="shared" si="181"/>
        <v>0</v>
      </c>
      <c r="H748" s="3" t="str">
        <f t="shared" si="182"/>
        <v/>
      </c>
      <c r="I748" s="3">
        <f t="shared" si="183"/>
        <v>0</v>
      </c>
      <c r="L748" s="35">
        <f t="shared" si="191"/>
        <v>1</v>
      </c>
      <c r="O748" s="27">
        <f t="shared" si="184"/>
        <v>0</v>
      </c>
      <c r="P748" s="3">
        <v>746</v>
      </c>
      <c r="Q748" s="3" t="e">
        <f t="shared" si="188"/>
        <v>#N/A</v>
      </c>
      <c r="R748" s="3" t="e">
        <f t="shared" si="189"/>
        <v>#N/A</v>
      </c>
      <c r="T748" s="46" t="str">
        <f t="shared" si="185"/>
        <v/>
      </c>
      <c r="U748" s="48" t="str">
        <f t="shared" si="186"/>
        <v/>
      </c>
      <c r="W748" s="56">
        <f t="shared" si="177"/>
        <v>0</v>
      </c>
      <c r="X748" s="57" t="str">
        <f t="shared" si="178"/>
        <v/>
      </c>
      <c r="Y748" s="58">
        <f t="shared" si="179"/>
        <v>0</v>
      </c>
      <c r="AA748" s="62" t="str">
        <f t="shared" si="190"/>
        <v/>
      </c>
    </row>
    <row r="749" spans="3:27">
      <c r="C749" s="82"/>
      <c r="E749" s="30" t="str">
        <f t="shared" si="187"/>
        <v>00:00:00</v>
      </c>
      <c r="F749" s="36" t="str">
        <f t="shared" si="180"/>
        <v/>
      </c>
      <c r="G749" s="36">
        <f t="shared" si="181"/>
        <v>0</v>
      </c>
      <c r="H749" s="3" t="str">
        <f t="shared" si="182"/>
        <v/>
      </c>
      <c r="I749" s="3">
        <f t="shared" si="183"/>
        <v>0</v>
      </c>
      <c r="L749" s="35">
        <f t="shared" si="191"/>
        <v>1</v>
      </c>
      <c r="O749" s="27">
        <f t="shared" si="184"/>
        <v>0</v>
      </c>
      <c r="P749" s="3">
        <v>747</v>
      </c>
      <c r="Q749" s="3" t="e">
        <f t="shared" si="188"/>
        <v>#N/A</v>
      </c>
      <c r="R749" s="3" t="e">
        <f t="shared" si="189"/>
        <v>#N/A</v>
      </c>
      <c r="T749" s="46" t="str">
        <f t="shared" si="185"/>
        <v/>
      </c>
      <c r="U749" s="48" t="str">
        <f t="shared" si="186"/>
        <v/>
      </c>
      <c r="W749" s="56">
        <f t="shared" si="177"/>
        <v>0</v>
      </c>
      <c r="X749" s="57" t="str">
        <f t="shared" si="178"/>
        <v/>
      </c>
      <c r="Y749" s="58">
        <f t="shared" si="179"/>
        <v>0</v>
      </c>
      <c r="AA749" s="62" t="str">
        <f t="shared" si="190"/>
        <v/>
      </c>
    </row>
    <row r="750" spans="3:27">
      <c r="C750" s="82"/>
      <c r="E750" s="30" t="str">
        <f t="shared" si="187"/>
        <v>00:00:00</v>
      </c>
      <c r="F750" s="36" t="str">
        <f t="shared" si="180"/>
        <v/>
      </c>
      <c r="G750" s="36">
        <f t="shared" si="181"/>
        <v>0</v>
      </c>
      <c r="H750" s="3" t="str">
        <f t="shared" si="182"/>
        <v/>
      </c>
      <c r="I750" s="3">
        <f t="shared" si="183"/>
        <v>0</v>
      </c>
      <c r="L750" s="35">
        <f t="shared" si="191"/>
        <v>1</v>
      </c>
      <c r="O750" s="27">
        <f t="shared" si="184"/>
        <v>0</v>
      </c>
      <c r="P750" s="3">
        <v>748</v>
      </c>
      <c r="Q750" s="3" t="e">
        <f t="shared" si="188"/>
        <v>#N/A</v>
      </c>
      <c r="R750" s="3" t="e">
        <f t="shared" si="189"/>
        <v>#N/A</v>
      </c>
      <c r="T750" s="46" t="str">
        <f t="shared" si="185"/>
        <v/>
      </c>
      <c r="U750" s="48" t="str">
        <f t="shared" si="186"/>
        <v/>
      </c>
      <c r="W750" s="56">
        <f t="shared" si="177"/>
        <v>0</v>
      </c>
      <c r="X750" s="57" t="str">
        <f t="shared" si="178"/>
        <v/>
      </c>
      <c r="Y750" s="58">
        <f t="shared" si="179"/>
        <v>0</v>
      </c>
      <c r="AA750" s="62" t="str">
        <f t="shared" si="190"/>
        <v/>
      </c>
    </row>
    <row r="751" spans="3:27">
      <c r="C751" s="82"/>
      <c r="E751" s="30" t="str">
        <f t="shared" si="187"/>
        <v>00:00:00</v>
      </c>
      <c r="F751" s="36" t="str">
        <f t="shared" si="180"/>
        <v/>
      </c>
      <c r="G751" s="36">
        <f t="shared" si="181"/>
        <v>0</v>
      </c>
      <c r="H751" s="3" t="str">
        <f t="shared" si="182"/>
        <v/>
      </c>
      <c r="I751" s="3">
        <f t="shared" si="183"/>
        <v>0</v>
      </c>
      <c r="L751" s="35">
        <f t="shared" si="191"/>
        <v>1</v>
      </c>
      <c r="O751" s="27">
        <f t="shared" si="184"/>
        <v>0</v>
      </c>
      <c r="P751" s="3">
        <v>749</v>
      </c>
      <c r="Q751" s="3" t="e">
        <f t="shared" si="188"/>
        <v>#N/A</v>
      </c>
      <c r="R751" s="3" t="e">
        <f t="shared" si="189"/>
        <v>#N/A</v>
      </c>
      <c r="T751" s="46" t="str">
        <f t="shared" si="185"/>
        <v/>
      </c>
      <c r="U751" s="48" t="str">
        <f t="shared" si="186"/>
        <v/>
      </c>
      <c r="W751" s="56">
        <f t="shared" si="177"/>
        <v>0</v>
      </c>
      <c r="X751" s="57" t="str">
        <f t="shared" si="178"/>
        <v/>
      </c>
      <c r="Y751" s="58">
        <f t="shared" si="179"/>
        <v>0</v>
      </c>
      <c r="AA751" s="62" t="str">
        <f t="shared" si="190"/>
        <v/>
      </c>
    </row>
    <row r="752" spans="3:27">
      <c r="C752" s="82"/>
      <c r="E752" s="30" t="str">
        <f t="shared" si="187"/>
        <v>00:00:00</v>
      </c>
      <c r="F752" s="36" t="str">
        <f t="shared" si="180"/>
        <v/>
      </c>
      <c r="G752" s="36">
        <f t="shared" si="181"/>
        <v>0</v>
      </c>
      <c r="H752" s="3" t="str">
        <f t="shared" si="182"/>
        <v/>
      </c>
      <c r="I752" s="3">
        <f t="shared" si="183"/>
        <v>0</v>
      </c>
      <c r="L752" s="35">
        <f t="shared" si="191"/>
        <v>1</v>
      </c>
      <c r="O752" s="27">
        <f t="shared" si="184"/>
        <v>0</v>
      </c>
      <c r="P752" s="3">
        <v>750</v>
      </c>
      <c r="Q752" s="3" t="e">
        <f t="shared" si="188"/>
        <v>#N/A</v>
      </c>
      <c r="R752" s="3" t="e">
        <f t="shared" si="189"/>
        <v>#N/A</v>
      </c>
      <c r="T752" s="46" t="str">
        <f t="shared" si="185"/>
        <v/>
      </c>
      <c r="U752" s="48" t="str">
        <f t="shared" si="186"/>
        <v/>
      </c>
      <c r="W752" s="56">
        <f t="shared" si="177"/>
        <v>0</v>
      </c>
      <c r="X752" s="57" t="str">
        <f t="shared" si="178"/>
        <v/>
      </c>
      <c r="Y752" s="58">
        <f t="shared" si="179"/>
        <v>0</v>
      </c>
      <c r="AA752" s="62" t="str">
        <f t="shared" si="190"/>
        <v/>
      </c>
    </row>
    <row r="753" spans="3:27">
      <c r="C753" s="82"/>
      <c r="E753" s="30" t="str">
        <f t="shared" si="187"/>
        <v>00:00:00</v>
      </c>
      <c r="F753" s="36" t="str">
        <f t="shared" si="180"/>
        <v/>
      </c>
      <c r="G753" s="36">
        <f t="shared" si="181"/>
        <v>0</v>
      </c>
      <c r="H753" s="3" t="str">
        <f t="shared" si="182"/>
        <v/>
      </c>
      <c r="I753" s="3">
        <f t="shared" si="183"/>
        <v>0</v>
      </c>
      <c r="L753" s="35">
        <f t="shared" si="191"/>
        <v>1</v>
      </c>
      <c r="O753" s="27">
        <f t="shared" si="184"/>
        <v>0</v>
      </c>
      <c r="P753" s="3">
        <v>751</v>
      </c>
      <c r="Q753" s="3" t="e">
        <f t="shared" si="188"/>
        <v>#N/A</v>
      </c>
      <c r="R753" s="3" t="e">
        <f t="shared" si="189"/>
        <v>#N/A</v>
      </c>
      <c r="T753" s="46" t="str">
        <f t="shared" si="185"/>
        <v/>
      </c>
      <c r="U753" s="48" t="str">
        <f t="shared" si="186"/>
        <v/>
      </c>
      <c r="W753" s="56">
        <f t="shared" si="177"/>
        <v>0</v>
      </c>
      <c r="X753" s="57" t="str">
        <f t="shared" si="178"/>
        <v/>
      </c>
      <c r="Y753" s="58">
        <f t="shared" si="179"/>
        <v>0</v>
      </c>
      <c r="AA753" s="62" t="str">
        <f t="shared" si="190"/>
        <v/>
      </c>
    </row>
    <row r="754" spans="3:27">
      <c r="C754" s="82"/>
      <c r="E754" s="30" t="str">
        <f t="shared" si="187"/>
        <v>00:00:00</v>
      </c>
      <c r="F754" s="36" t="str">
        <f t="shared" si="180"/>
        <v/>
      </c>
      <c r="G754" s="36">
        <f t="shared" si="181"/>
        <v>0</v>
      </c>
      <c r="H754" s="3" t="str">
        <f t="shared" si="182"/>
        <v/>
      </c>
      <c r="I754" s="3">
        <f t="shared" si="183"/>
        <v>0</v>
      </c>
      <c r="L754" s="35">
        <f t="shared" si="191"/>
        <v>1</v>
      </c>
      <c r="O754" s="27">
        <f t="shared" si="184"/>
        <v>0</v>
      </c>
      <c r="P754" s="3">
        <v>752</v>
      </c>
      <c r="Q754" s="3" t="e">
        <f t="shared" si="188"/>
        <v>#N/A</v>
      </c>
      <c r="R754" s="3" t="e">
        <f t="shared" si="189"/>
        <v>#N/A</v>
      </c>
      <c r="T754" s="46" t="str">
        <f t="shared" si="185"/>
        <v/>
      </c>
      <c r="U754" s="48" t="str">
        <f t="shared" si="186"/>
        <v/>
      </c>
      <c r="W754" s="56">
        <f t="shared" si="177"/>
        <v>0</v>
      </c>
      <c r="X754" s="57" t="str">
        <f t="shared" si="178"/>
        <v/>
      </c>
      <c r="Y754" s="58">
        <f t="shared" si="179"/>
        <v>0</v>
      </c>
      <c r="AA754" s="62" t="str">
        <f t="shared" si="190"/>
        <v/>
      </c>
    </row>
    <row r="755" spans="3:27">
      <c r="C755" s="82"/>
      <c r="E755" s="30" t="str">
        <f t="shared" si="187"/>
        <v>00:00:00</v>
      </c>
      <c r="F755" s="36" t="str">
        <f t="shared" si="180"/>
        <v/>
      </c>
      <c r="G755" s="36">
        <f t="shared" si="181"/>
        <v>0</v>
      </c>
      <c r="H755" s="3" t="str">
        <f t="shared" si="182"/>
        <v/>
      </c>
      <c r="I755" s="3">
        <f t="shared" si="183"/>
        <v>0</v>
      </c>
      <c r="L755" s="35">
        <f t="shared" si="191"/>
        <v>1</v>
      </c>
      <c r="O755" s="27">
        <f t="shared" si="184"/>
        <v>0</v>
      </c>
      <c r="P755" s="3">
        <v>753</v>
      </c>
      <c r="Q755" s="3" t="e">
        <f t="shared" si="188"/>
        <v>#N/A</v>
      </c>
      <c r="R755" s="3" t="e">
        <f t="shared" si="189"/>
        <v>#N/A</v>
      </c>
      <c r="T755" s="46" t="str">
        <f t="shared" si="185"/>
        <v/>
      </c>
      <c r="U755" s="48" t="str">
        <f t="shared" si="186"/>
        <v/>
      </c>
      <c r="W755" s="56">
        <f t="shared" si="177"/>
        <v>0</v>
      </c>
      <c r="X755" s="57" t="str">
        <f t="shared" si="178"/>
        <v/>
      </c>
      <c r="Y755" s="58">
        <f t="shared" si="179"/>
        <v>0</v>
      </c>
      <c r="AA755" s="62" t="str">
        <f t="shared" si="190"/>
        <v/>
      </c>
    </row>
    <row r="756" spans="3:27">
      <c r="C756" s="82"/>
      <c r="E756" s="30" t="str">
        <f t="shared" si="187"/>
        <v>00:00:00</v>
      </c>
      <c r="F756" s="36" t="str">
        <f t="shared" si="180"/>
        <v/>
      </c>
      <c r="G756" s="36">
        <f t="shared" si="181"/>
        <v>0</v>
      </c>
      <c r="H756" s="3" t="str">
        <f t="shared" si="182"/>
        <v/>
      </c>
      <c r="I756" s="3">
        <f t="shared" si="183"/>
        <v>0</v>
      </c>
      <c r="L756" s="35">
        <f t="shared" si="191"/>
        <v>1</v>
      </c>
      <c r="O756" s="27">
        <f t="shared" si="184"/>
        <v>0</v>
      </c>
      <c r="P756" s="3">
        <v>754</v>
      </c>
      <c r="Q756" s="3" t="e">
        <f t="shared" si="188"/>
        <v>#N/A</v>
      </c>
      <c r="R756" s="3" t="e">
        <f t="shared" si="189"/>
        <v>#N/A</v>
      </c>
      <c r="T756" s="46" t="str">
        <f t="shared" si="185"/>
        <v/>
      </c>
      <c r="U756" s="48" t="str">
        <f t="shared" si="186"/>
        <v/>
      </c>
      <c r="W756" s="56">
        <f t="shared" si="177"/>
        <v>0</v>
      </c>
      <c r="X756" s="57" t="str">
        <f t="shared" si="178"/>
        <v/>
      </c>
      <c r="Y756" s="58">
        <f t="shared" si="179"/>
        <v>0</v>
      </c>
      <c r="AA756" s="62" t="str">
        <f t="shared" si="190"/>
        <v/>
      </c>
    </row>
    <row r="757" spans="3:27">
      <c r="C757" s="82"/>
      <c r="E757" s="30" t="str">
        <f t="shared" si="187"/>
        <v>00:00:00</v>
      </c>
      <c r="F757" s="36" t="str">
        <f t="shared" si="180"/>
        <v/>
      </c>
      <c r="G757" s="36">
        <f t="shared" si="181"/>
        <v>0</v>
      </c>
      <c r="H757" s="3" t="str">
        <f t="shared" si="182"/>
        <v/>
      </c>
      <c r="I757" s="3">
        <f t="shared" si="183"/>
        <v>0</v>
      </c>
      <c r="L757" s="35">
        <f t="shared" si="191"/>
        <v>1</v>
      </c>
      <c r="O757" s="27">
        <f t="shared" si="184"/>
        <v>0</v>
      </c>
      <c r="P757" s="3">
        <v>755</v>
      </c>
      <c r="Q757" s="3" t="e">
        <f t="shared" si="188"/>
        <v>#N/A</v>
      </c>
      <c r="R757" s="3" t="e">
        <f t="shared" si="189"/>
        <v>#N/A</v>
      </c>
      <c r="T757" s="46" t="str">
        <f t="shared" si="185"/>
        <v/>
      </c>
      <c r="U757" s="48" t="str">
        <f t="shared" si="186"/>
        <v/>
      </c>
      <c r="W757" s="56">
        <f t="shared" si="177"/>
        <v>0</v>
      </c>
      <c r="X757" s="57" t="str">
        <f t="shared" si="178"/>
        <v/>
      </c>
      <c r="Y757" s="58">
        <f t="shared" si="179"/>
        <v>0</v>
      </c>
      <c r="AA757" s="62" t="str">
        <f t="shared" si="190"/>
        <v/>
      </c>
    </row>
    <row r="758" spans="3:27">
      <c r="C758" s="82"/>
      <c r="E758" s="30" t="str">
        <f t="shared" si="187"/>
        <v>00:00:00</v>
      </c>
      <c r="F758" s="36" t="str">
        <f t="shared" si="180"/>
        <v/>
      </c>
      <c r="G758" s="36">
        <f t="shared" si="181"/>
        <v>0</v>
      </c>
      <c r="H758" s="3" t="str">
        <f t="shared" si="182"/>
        <v/>
      </c>
      <c r="I758" s="3">
        <f t="shared" si="183"/>
        <v>0</v>
      </c>
      <c r="L758" s="35">
        <f t="shared" si="191"/>
        <v>1</v>
      </c>
      <c r="O758" s="27">
        <f t="shared" si="184"/>
        <v>0</v>
      </c>
      <c r="P758" s="3">
        <v>756</v>
      </c>
      <c r="Q758" s="3" t="e">
        <f t="shared" si="188"/>
        <v>#N/A</v>
      </c>
      <c r="R758" s="3" t="e">
        <f t="shared" si="189"/>
        <v>#N/A</v>
      </c>
      <c r="T758" s="46" t="str">
        <f t="shared" si="185"/>
        <v/>
      </c>
      <c r="U758" s="48" t="str">
        <f t="shared" si="186"/>
        <v/>
      </c>
      <c r="W758" s="56">
        <f t="shared" si="177"/>
        <v>0</v>
      </c>
      <c r="X758" s="57" t="str">
        <f t="shared" si="178"/>
        <v/>
      </c>
      <c r="Y758" s="58">
        <f t="shared" si="179"/>
        <v>0</v>
      </c>
      <c r="AA758" s="62" t="str">
        <f t="shared" si="190"/>
        <v/>
      </c>
    </row>
    <row r="759" spans="3:27">
      <c r="C759" s="82"/>
      <c r="E759" s="30" t="str">
        <f t="shared" si="187"/>
        <v>00:00:00</v>
      </c>
      <c r="F759" s="36" t="str">
        <f t="shared" si="180"/>
        <v/>
      </c>
      <c r="G759" s="36">
        <f t="shared" si="181"/>
        <v>0</v>
      </c>
      <c r="H759" s="3" t="str">
        <f t="shared" si="182"/>
        <v/>
      </c>
      <c r="I759" s="3">
        <f t="shared" si="183"/>
        <v>0</v>
      </c>
      <c r="L759" s="35">
        <f t="shared" si="191"/>
        <v>1</v>
      </c>
      <c r="O759" s="27">
        <f t="shared" si="184"/>
        <v>0</v>
      </c>
      <c r="P759" s="3">
        <v>757</v>
      </c>
      <c r="Q759" s="3" t="e">
        <f t="shared" si="188"/>
        <v>#N/A</v>
      </c>
      <c r="R759" s="3" t="e">
        <f t="shared" si="189"/>
        <v>#N/A</v>
      </c>
      <c r="T759" s="46" t="str">
        <f t="shared" si="185"/>
        <v/>
      </c>
      <c r="U759" s="48" t="str">
        <f t="shared" si="186"/>
        <v/>
      </c>
      <c r="W759" s="56">
        <f t="shared" si="177"/>
        <v>0</v>
      </c>
      <c r="X759" s="57" t="str">
        <f t="shared" si="178"/>
        <v/>
      </c>
      <c r="Y759" s="58">
        <f t="shared" si="179"/>
        <v>0</v>
      </c>
      <c r="AA759" s="62" t="str">
        <f t="shared" si="190"/>
        <v/>
      </c>
    </row>
    <row r="760" spans="3:27">
      <c r="C760" s="82"/>
      <c r="E760" s="30" t="str">
        <f t="shared" si="187"/>
        <v>00:00:00</v>
      </c>
      <c r="F760" s="36" t="str">
        <f t="shared" si="180"/>
        <v/>
      </c>
      <c r="G760" s="36">
        <f t="shared" si="181"/>
        <v>0</v>
      </c>
      <c r="H760" s="3" t="str">
        <f t="shared" si="182"/>
        <v/>
      </c>
      <c r="I760" s="3">
        <f t="shared" si="183"/>
        <v>0</v>
      </c>
      <c r="L760" s="35">
        <f t="shared" si="191"/>
        <v>1</v>
      </c>
      <c r="O760" s="27">
        <f t="shared" si="184"/>
        <v>0</v>
      </c>
      <c r="P760" s="3">
        <v>758</v>
      </c>
      <c r="Q760" s="3" t="e">
        <f t="shared" si="188"/>
        <v>#N/A</v>
      </c>
      <c r="R760" s="3" t="e">
        <f t="shared" si="189"/>
        <v>#N/A</v>
      </c>
      <c r="T760" s="46" t="str">
        <f t="shared" si="185"/>
        <v/>
      </c>
      <c r="U760" s="48" t="str">
        <f t="shared" si="186"/>
        <v/>
      </c>
      <c r="W760" s="56">
        <f t="shared" si="177"/>
        <v>0</v>
      </c>
      <c r="X760" s="57" t="str">
        <f t="shared" si="178"/>
        <v/>
      </c>
      <c r="Y760" s="58">
        <f t="shared" si="179"/>
        <v>0</v>
      </c>
      <c r="AA760" s="62" t="str">
        <f t="shared" si="190"/>
        <v/>
      </c>
    </row>
    <row r="761" spans="3:27">
      <c r="C761" s="82"/>
      <c r="E761" s="30" t="str">
        <f t="shared" si="187"/>
        <v>00:00:00</v>
      </c>
      <c r="F761" s="36" t="str">
        <f t="shared" si="180"/>
        <v/>
      </c>
      <c r="G761" s="36">
        <f t="shared" si="181"/>
        <v>0</v>
      </c>
      <c r="H761" s="3" t="str">
        <f t="shared" si="182"/>
        <v/>
      </c>
      <c r="I761" s="3">
        <f t="shared" si="183"/>
        <v>0</v>
      </c>
      <c r="L761" s="35">
        <f t="shared" si="191"/>
        <v>1</v>
      </c>
      <c r="O761" s="27">
        <f t="shared" si="184"/>
        <v>0</v>
      </c>
      <c r="P761" s="3">
        <v>759</v>
      </c>
      <c r="Q761" s="3" t="e">
        <f t="shared" si="188"/>
        <v>#N/A</v>
      </c>
      <c r="R761" s="3" t="e">
        <f t="shared" si="189"/>
        <v>#N/A</v>
      </c>
      <c r="T761" s="46" t="str">
        <f t="shared" si="185"/>
        <v/>
      </c>
      <c r="U761" s="48" t="str">
        <f t="shared" si="186"/>
        <v/>
      </c>
      <c r="W761" s="56">
        <f t="shared" si="177"/>
        <v>0</v>
      </c>
      <c r="X761" s="57" t="str">
        <f t="shared" si="178"/>
        <v/>
      </c>
      <c r="Y761" s="58">
        <f t="shared" si="179"/>
        <v>0</v>
      </c>
      <c r="AA761" s="62" t="str">
        <f t="shared" si="190"/>
        <v/>
      </c>
    </row>
    <row r="762" spans="3:27">
      <c r="C762" s="82"/>
      <c r="E762" s="30" t="str">
        <f t="shared" si="187"/>
        <v>00:00:00</v>
      </c>
      <c r="F762" s="36" t="str">
        <f t="shared" si="180"/>
        <v/>
      </c>
      <c r="G762" s="36">
        <f t="shared" si="181"/>
        <v>0</v>
      </c>
      <c r="H762" s="3" t="str">
        <f t="shared" si="182"/>
        <v/>
      </c>
      <c r="I762" s="3">
        <f t="shared" si="183"/>
        <v>0</v>
      </c>
      <c r="L762" s="35">
        <f t="shared" si="191"/>
        <v>1</v>
      </c>
      <c r="O762" s="27">
        <f t="shared" si="184"/>
        <v>0</v>
      </c>
      <c r="P762" s="3">
        <v>760</v>
      </c>
      <c r="Q762" s="3" t="e">
        <f t="shared" si="188"/>
        <v>#N/A</v>
      </c>
      <c r="R762" s="3" t="e">
        <f t="shared" si="189"/>
        <v>#N/A</v>
      </c>
      <c r="T762" s="46" t="str">
        <f t="shared" si="185"/>
        <v/>
      </c>
      <c r="U762" s="48" t="str">
        <f t="shared" si="186"/>
        <v/>
      </c>
      <c r="W762" s="56">
        <f t="shared" si="177"/>
        <v>0</v>
      </c>
      <c r="X762" s="57" t="str">
        <f t="shared" si="178"/>
        <v/>
      </c>
      <c r="Y762" s="58">
        <f t="shared" si="179"/>
        <v>0</v>
      </c>
      <c r="AA762" s="62" t="str">
        <f t="shared" si="190"/>
        <v/>
      </c>
    </row>
    <row r="763" spans="3:27">
      <c r="C763" s="82"/>
      <c r="E763" s="30" t="str">
        <f t="shared" si="187"/>
        <v>00:00:00</v>
      </c>
      <c r="F763" s="36" t="str">
        <f t="shared" si="180"/>
        <v/>
      </c>
      <c r="G763" s="36">
        <f t="shared" si="181"/>
        <v>0</v>
      </c>
      <c r="H763" s="3" t="str">
        <f t="shared" si="182"/>
        <v/>
      </c>
      <c r="I763" s="3">
        <f t="shared" si="183"/>
        <v>0</v>
      </c>
      <c r="L763" s="35">
        <f t="shared" si="191"/>
        <v>1</v>
      </c>
      <c r="O763" s="27">
        <f t="shared" si="184"/>
        <v>0</v>
      </c>
      <c r="P763" s="3">
        <v>761</v>
      </c>
      <c r="Q763" s="3" t="e">
        <f t="shared" si="188"/>
        <v>#N/A</v>
      </c>
      <c r="R763" s="3" t="e">
        <f t="shared" si="189"/>
        <v>#N/A</v>
      </c>
      <c r="T763" s="46" t="str">
        <f t="shared" si="185"/>
        <v/>
      </c>
      <c r="U763" s="48" t="str">
        <f t="shared" si="186"/>
        <v/>
      </c>
      <c r="W763" s="56">
        <f t="shared" si="177"/>
        <v>0</v>
      </c>
      <c r="X763" s="57" t="str">
        <f t="shared" si="178"/>
        <v/>
      </c>
      <c r="Y763" s="58">
        <f t="shared" si="179"/>
        <v>0</v>
      </c>
      <c r="AA763" s="62" t="str">
        <f t="shared" si="190"/>
        <v/>
      </c>
    </row>
    <row r="764" spans="3:27">
      <c r="C764" s="82"/>
      <c r="E764" s="30" t="str">
        <f t="shared" si="187"/>
        <v>00:00:00</v>
      </c>
      <c r="F764" s="36" t="str">
        <f t="shared" si="180"/>
        <v/>
      </c>
      <c r="G764" s="36">
        <f t="shared" si="181"/>
        <v>0</v>
      </c>
      <c r="H764" s="3" t="str">
        <f t="shared" si="182"/>
        <v/>
      </c>
      <c r="I764" s="3">
        <f t="shared" si="183"/>
        <v>0</v>
      </c>
      <c r="L764" s="35">
        <f t="shared" si="191"/>
        <v>1</v>
      </c>
      <c r="O764" s="27">
        <f t="shared" si="184"/>
        <v>0</v>
      </c>
      <c r="P764" s="3">
        <v>762</v>
      </c>
      <c r="Q764" s="3" t="e">
        <f t="shared" si="188"/>
        <v>#N/A</v>
      </c>
      <c r="R764" s="3" t="e">
        <f t="shared" si="189"/>
        <v>#N/A</v>
      </c>
      <c r="T764" s="46" t="str">
        <f t="shared" si="185"/>
        <v/>
      </c>
      <c r="U764" s="48" t="str">
        <f t="shared" si="186"/>
        <v/>
      </c>
      <c r="W764" s="56">
        <f t="shared" si="177"/>
        <v>0</v>
      </c>
      <c r="X764" s="57" t="str">
        <f t="shared" si="178"/>
        <v/>
      </c>
      <c r="Y764" s="58">
        <f t="shared" si="179"/>
        <v>0</v>
      </c>
      <c r="AA764" s="62" t="str">
        <f t="shared" si="190"/>
        <v/>
      </c>
    </row>
    <row r="765" spans="3:27">
      <c r="C765" s="82"/>
      <c r="E765" s="30" t="str">
        <f t="shared" si="187"/>
        <v>00:00:00</v>
      </c>
      <c r="F765" s="36" t="str">
        <f t="shared" si="180"/>
        <v/>
      </c>
      <c r="G765" s="36">
        <f t="shared" si="181"/>
        <v>0</v>
      </c>
      <c r="H765" s="3" t="str">
        <f t="shared" si="182"/>
        <v/>
      </c>
      <c r="I765" s="3">
        <f t="shared" si="183"/>
        <v>0</v>
      </c>
      <c r="L765" s="35">
        <f t="shared" si="191"/>
        <v>1</v>
      </c>
      <c r="O765" s="27">
        <f t="shared" si="184"/>
        <v>0</v>
      </c>
      <c r="P765" s="3">
        <v>763</v>
      </c>
      <c r="Q765" s="3" t="e">
        <f t="shared" si="188"/>
        <v>#N/A</v>
      </c>
      <c r="R765" s="3" t="e">
        <f t="shared" si="189"/>
        <v>#N/A</v>
      </c>
      <c r="T765" s="46" t="str">
        <f t="shared" si="185"/>
        <v/>
      </c>
      <c r="U765" s="48" t="str">
        <f t="shared" si="186"/>
        <v/>
      </c>
      <c r="W765" s="56">
        <f t="shared" si="177"/>
        <v>0</v>
      </c>
      <c r="X765" s="57" t="str">
        <f t="shared" si="178"/>
        <v/>
      </c>
      <c r="Y765" s="58">
        <f t="shared" si="179"/>
        <v>0</v>
      </c>
      <c r="AA765" s="62" t="str">
        <f t="shared" si="190"/>
        <v/>
      </c>
    </row>
    <row r="766" spans="3:27">
      <c r="C766" s="82"/>
      <c r="E766" s="30" t="str">
        <f t="shared" si="187"/>
        <v>00:00:00</v>
      </c>
      <c r="F766" s="36" t="str">
        <f t="shared" si="180"/>
        <v/>
      </c>
      <c r="G766" s="36">
        <f t="shared" si="181"/>
        <v>0</v>
      </c>
      <c r="H766" s="3" t="str">
        <f t="shared" si="182"/>
        <v/>
      </c>
      <c r="I766" s="3">
        <f t="shared" si="183"/>
        <v>0</v>
      </c>
      <c r="L766" s="35">
        <f t="shared" si="191"/>
        <v>1</v>
      </c>
      <c r="O766" s="27">
        <f t="shared" si="184"/>
        <v>0</v>
      </c>
      <c r="P766" s="3">
        <v>764</v>
      </c>
      <c r="Q766" s="3" t="e">
        <f t="shared" si="188"/>
        <v>#N/A</v>
      </c>
      <c r="R766" s="3" t="e">
        <f t="shared" si="189"/>
        <v>#N/A</v>
      </c>
      <c r="T766" s="46" t="str">
        <f t="shared" si="185"/>
        <v/>
      </c>
      <c r="U766" s="48" t="str">
        <f t="shared" si="186"/>
        <v/>
      </c>
      <c r="W766" s="56">
        <f t="shared" si="177"/>
        <v>0</v>
      </c>
      <c r="X766" s="57" t="str">
        <f t="shared" si="178"/>
        <v/>
      </c>
      <c r="Y766" s="58">
        <f t="shared" si="179"/>
        <v>0</v>
      </c>
      <c r="AA766" s="62" t="str">
        <f t="shared" si="190"/>
        <v/>
      </c>
    </row>
    <row r="767" spans="3:27">
      <c r="C767" s="82"/>
      <c r="E767" s="30" t="str">
        <f t="shared" si="187"/>
        <v>00:00:00</v>
      </c>
      <c r="F767" s="36" t="str">
        <f t="shared" si="180"/>
        <v/>
      </c>
      <c r="G767" s="36">
        <f t="shared" si="181"/>
        <v>0</v>
      </c>
      <c r="H767" s="3" t="str">
        <f t="shared" si="182"/>
        <v/>
      </c>
      <c r="I767" s="3">
        <f t="shared" si="183"/>
        <v>0</v>
      </c>
      <c r="L767" s="35">
        <f t="shared" si="191"/>
        <v>1</v>
      </c>
      <c r="O767" s="27">
        <f t="shared" si="184"/>
        <v>0</v>
      </c>
      <c r="P767" s="3">
        <v>765</v>
      </c>
      <c r="Q767" s="3" t="e">
        <f t="shared" si="188"/>
        <v>#N/A</v>
      </c>
      <c r="R767" s="3" t="e">
        <f t="shared" si="189"/>
        <v>#N/A</v>
      </c>
      <c r="T767" s="46" t="str">
        <f t="shared" si="185"/>
        <v/>
      </c>
      <c r="U767" s="48" t="str">
        <f t="shared" si="186"/>
        <v/>
      </c>
      <c r="W767" s="56">
        <f t="shared" si="177"/>
        <v>0</v>
      </c>
      <c r="X767" s="57" t="str">
        <f t="shared" si="178"/>
        <v/>
      </c>
      <c r="Y767" s="58">
        <f t="shared" si="179"/>
        <v>0</v>
      </c>
      <c r="AA767" s="62" t="str">
        <f t="shared" si="190"/>
        <v/>
      </c>
    </row>
    <row r="768" spans="3:27">
      <c r="C768" s="82"/>
      <c r="E768" s="30" t="str">
        <f t="shared" si="187"/>
        <v>00:00:00</v>
      </c>
      <c r="F768" s="36" t="str">
        <f t="shared" si="180"/>
        <v/>
      </c>
      <c r="G768" s="36">
        <f t="shared" si="181"/>
        <v>0</v>
      </c>
      <c r="H768" s="3" t="str">
        <f t="shared" si="182"/>
        <v/>
      </c>
      <c r="I768" s="3">
        <f t="shared" si="183"/>
        <v>0</v>
      </c>
      <c r="L768" s="35">
        <f t="shared" si="191"/>
        <v>1</v>
      </c>
      <c r="O768" s="27">
        <f t="shared" si="184"/>
        <v>0</v>
      </c>
      <c r="P768" s="3">
        <v>766</v>
      </c>
      <c r="Q768" s="3" t="e">
        <f t="shared" si="188"/>
        <v>#N/A</v>
      </c>
      <c r="R768" s="3" t="e">
        <f t="shared" si="189"/>
        <v>#N/A</v>
      </c>
      <c r="T768" s="46" t="str">
        <f t="shared" si="185"/>
        <v/>
      </c>
      <c r="U768" s="48" t="str">
        <f t="shared" si="186"/>
        <v/>
      </c>
      <c r="W768" s="56">
        <f t="shared" si="177"/>
        <v>0</v>
      </c>
      <c r="X768" s="57" t="str">
        <f t="shared" si="178"/>
        <v/>
      </c>
      <c r="Y768" s="58">
        <f t="shared" si="179"/>
        <v>0</v>
      </c>
      <c r="AA768" s="62" t="str">
        <f t="shared" si="190"/>
        <v/>
      </c>
    </row>
    <row r="769" spans="3:27">
      <c r="C769" s="82"/>
      <c r="E769" s="30" t="str">
        <f t="shared" si="187"/>
        <v>00:00:00</v>
      </c>
      <c r="F769" s="36" t="str">
        <f t="shared" si="180"/>
        <v/>
      </c>
      <c r="G769" s="36">
        <f t="shared" si="181"/>
        <v>0</v>
      </c>
      <c r="H769" s="3" t="str">
        <f t="shared" si="182"/>
        <v/>
      </c>
      <c r="I769" s="3">
        <f t="shared" si="183"/>
        <v>0</v>
      </c>
      <c r="L769" s="35">
        <f t="shared" si="191"/>
        <v>1</v>
      </c>
      <c r="O769" s="27">
        <f t="shared" si="184"/>
        <v>0</v>
      </c>
      <c r="P769" s="3">
        <v>767</v>
      </c>
      <c r="Q769" s="3" t="e">
        <f t="shared" si="188"/>
        <v>#N/A</v>
      </c>
      <c r="R769" s="3" t="e">
        <f t="shared" si="189"/>
        <v>#N/A</v>
      </c>
      <c r="T769" s="46" t="str">
        <f t="shared" si="185"/>
        <v/>
      </c>
      <c r="U769" s="48" t="str">
        <f t="shared" si="186"/>
        <v/>
      </c>
      <c r="W769" s="56">
        <f t="shared" si="177"/>
        <v>0</v>
      </c>
      <c r="X769" s="57" t="str">
        <f t="shared" si="178"/>
        <v/>
      </c>
      <c r="Y769" s="58">
        <f t="shared" si="179"/>
        <v>0</v>
      </c>
      <c r="AA769" s="62" t="str">
        <f t="shared" si="190"/>
        <v/>
      </c>
    </row>
    <row r="770" spans="3:27">
      <c r="C770" s="82"/>
      <c r="E770" s="30" t="str">
        <f t="shared" si="187"/>
        <v>00:00:00</v>
      </c>
      <c r="F770" s="36" t="str">
        <f t="shared" si="180"/>
        <v/>
      </c>
      <c r="G770" s="36">
        <f t="shared" si="181"/>
        <v>0</v>
      </c>
      <c r="H770" s="3" t="str">
        <f t="shared" si="182"/>
        <v/>
      </c>
      <c r="I770" s="3">
        <f t="shared" si="183"/>
        <v>0</v>
      </c>
      <c r="L770" s="35">
        <f t="shared" si="191"/>
        <v>1</v>
      </c>
      <c r="O770" s="27">
        <f t="shared" si="184"/>
        <v>0</v>
      </c>
      <c r="P770" s="3">
        <v>768</v>
      </c>
      <c r="Q770" s="3" t="e">
        <f t="shared" si="188"/>
        <v>#N/A</v>
      </c>
      <c r="R770" s="3" t="e">
        <f t="shared" si="189"/>
        <v>#N/A</v>
      </c>
      <c r="T770" s="46" t="str">
        <f t="shared" si="185"/>
        <v/>
      </c>
      <c r="U770" s="48" t="str">
        <f t="shared" si="186"/>
        <v/>
      </c>
      <c r="W770" s="56">
        <f t="shared" ref="W770:W833" si="192">IF(H770&lt;&gt;H771,1,0)</f>
        <v>0</v>
      </c>
      <c r="X770" s="57" t="str">
        <f t="shared" ref="X770:X833" si="193">IF(W770=1,H770,"")</f>
        <v/>
      </c>
      <c r="Y770" s="58">
        <f t="shared" ref="Y770:Y833" si="194">D770</f>
        <v>0</v>
      </c>
      <c r="AA770" s="62" t="str">
        <f t="shared" si="190"/>
        <v/>
      </c>
    </row>
    <row r="771" spans="3:27">
      <c r="C771" s="82"/>
      <c r="E771" s="30" t="str">
        <f t="shared" si="187"/>
        <v>00:00:00</v>
      </c>
      <c r="F771" s="36" t="str">
        <f t="shared" ref="F771:F834" si="195">IF(G771=0,"",IF(G771&lt;8,1,IF(G771&lt;15,2,IF(G771&lt;22,3,4))))</f>
        <v/>
      </c>
      <c r="G771" s="36">
        <f t="shared" ref="G771:G834" si="196">DAY(B771)</f>
        <v>0</v>
      </c>
      <c r="H771" s="3" t="str">
        <f t="shared" ref="H771:H834" si="197">IF(ISNUMBER(B771),VLOOKUP(MONTH(B771),$J$2:$K$13,2,FALSE),"")</f>
        <v/>
      </c>
      <c r="I771" s="3">
        <f t="shared" ref="I771:I834" si="198">IF(A771&lt;&gt;A772,1,0)</f>
        <v>0</v>
      </c>
      <c r="L771" s="35">
        <f t="shared" si="191"/>
        <v>1</v>
      </c>
      <c r="O771" s="27">
        <f t="shared" ref="O771:O834" si="199">D771</f>
        <v>0</v>
      </c>
      <c r="P771" s="3">
        <v>769</v>
      </c>
      <c r="Q771" s="3" t="e">
        <f t="shared" si="188"/>
        <v>#N/A</v>
      </c>
      <c r="R771" s="3" t="e">
        <f t="shared" si="189"/>
        <v>#N/A</v>
      </c>
      <c r="T771" s="46" t="str">
        <f t="shared" ref="T771:T834" si="200">IFERROR(R771,"")</f>
        <v/>
      </c>
      <c r="U771" s="48" t="str">
        <f t="shared" ref="U771:U834" si="201">IFERROR(Q771,"")</f>
        <v/>
      </c>
      <c r="W771" s="56">
        <f t="shared" si="192"/>
        <v>0</v>
      </c>
      <c r="X771" s="57" t="str">
        <f t="shared" si="193"/>
        <v/>
      </c>
      <c r="Y771" s="58">
        <f t="shared" si="194"/>
        <v>0</v>
      </c>
      <c r="AA771" s="62" t="str">
        <f t="shared" si="190"/>
        <v/>
      </c>
    </row>
    <row r="772" spans="3:27">
      <c r="C772" s="82"/>
      <c r="E772" s="30" t="str">
        <f t="shared" ref="E772:E835" si="202">IF(A772&lt;&gt;A771,TEXT(C772,"hh:mm:ss"),TEXT(C772+E771,"hh:mm:ss"))</f>
        <v>00:00:00</v>
      </c>
      <c r="F772" s="36" t="str">
        <f t="shared" si="195"/>
        <v/>
      </c>
      <c r="G772" s="36">
        <f t="shared" si="196"/>
        <v>0</v>
      </c>
      <c r="H772" s="3" t="str">
        <f t="shared" si="197"/>
        <v/>
      </c>
      <c r="I772" s="3">
        <f t="shared" si="198"/>
        <v>0</v>
      </c>
      <c r="L772" s="35">
        <f t="shared" si="191"/>
        <v>1</v>
      </c>
      <c r="O772" s="27">
        <f t="shared" si="199"/>
        <v>0</v>
      </c>
      <c r="P772" s="3">
        <v>770</v>
      </c>
      <c r="Q772" s="3" t="e">
        <f t="shared" ref="Q772:Q835" si="203">VLOOKUP(P772,M:O,3,FALSE)</f>
        <v>#N/A</v>
      </c>
      <c r="R772" s="3" t="e">
        <f t="shared" ref="R772:R835" si="204">VLOOKUP(P772,M:N,2,FALSE)</f>
        <v>#N/A</v>
      </c>
      <c r="T772" s="46" t="str">
        <f t="shared" si="200"/>
        <v/>
      </c>
      <c r="U772" s="48" t="str">
        <f t="shared" si="201"/>
        <v/>
      </c>
      <c r="W772" s="56">
        <f t="shared" si="192"/>
        <v>0</v>
      </c>
      <c r="X772" s="57" t="str">
        <f t="shared" si="193"/>
        <v/>
      </c>
      <c r="Y772" s="58">
        <f t="shared" si="194"/>
        <v>0</v>
      </c>
      <c r="AA772" s="62" t="str">
        <f t="shared" ref="AA772:AA835" si="205">IFERROR(VLOOKUP(Z772,X:Y,2,FALSE),"")</f>
        <v/>
      </c>
    </row>
    <row r="773" spans="3:27">
      <c r="C773" s="82"/>
      <c r="E773" s="30" t="str">
        <f t="shared" si="202"/>
        <v>00:00:00</v>
      </c>
      <c r="F773" s="36" t="str">
        <f t="shared" si="195"/>
        <v/>
      </c>
      <c r="G773" s="36">
        <f t="shared" si="196"/>
        <v>0</v>
      </c>
      <c r="H773" s="3" t="str">
        <f t="shared" si="197"/>
        <v/>
      </c>
      <c r="I773" s="3">
        <f t="shared" si="198"/>
        <v>0</v>
      </c>
      <c r="L773" s="35">
        <f t="shared" si="191"/>
        <v>1</v>
      </c>
      <c r="O773" s="27">
        <f t="shared" si="199"/>
        <v>0</v>
      </c>
      <c r="P773" s="3">
        <v>771</v>
      </c>
      <c r="Q773" s="3" t="e">
        <f t="shared" si="203"/>
        <v>#N/A</v>
      </c>
      <c r="R773" s="3" t="e">
        <f t="shared" si="204"/>
        <v>#N/A</v>
      </c>
      <c r="T773" s="46" t="str">
        <f t="shared" si="200"/>
        <v/>
      </c>
      <c r="U773" s="48" t="str">
        <f t="shared" si="201"/>
        <v/>
      </c>
      <c r="W773" s="56">
        <f t="shared" si="192"/>
        <v>0</v>
      </c>
      <c r="X773" s="57" t="str">
        <f t="shared" si="193"/>
        <v/>
      </c>
      <c r="Y773" s="58">
        <f t="shared" si="194"/>
        <v>0</v>
      </c>
      <c r="AA773" s="62" t="str">
        <f t="shared" si="205"/>
        <v/>
      </c>
    </row>
    <row r="774" spans="3:27">
      <c r="C774" s="82"/>
      <c r="E774" s="30" t="str">
        <f t="shared" si="202"/>
        <v>00:00:00</v>
      </c>
      <c r="F774" s="36" t="str">
        <f t="shared" si="195"/>
        <v/>
      </c>
      <c r="G774" s="36">
        <f t="shared" si="196"/>
        <v>0</v>
      </c>
      <c r="H774" s="3" t="str">
        <f t="shared" si="197"/>
        <v/>
      </c>
      <c r="I774" s="3">
        <f t="shared" si="198"/>
        <v>0</v>
      </c>
      <c r="L774" s="35">
        <f t="shared" si="191"/>
        <v>1</v>
      </c>
      <c r="O774" s="27">
        <f t="shared" si="199"/>
        <v>0</v>
      </c>
      <c r="P774" s="3">
        <v>772</v>
      </c>
      <c r="Q774" s="3" t="e">
        <f t="shared" si="203"/>
        <v>#N/A</v>
      </c>
      <c r="R774" s="3" t="e">
        <f t="shared" si="204"/>
        <v>#N/A</v>
      </c>
      <c r="T774" s="46" t="str">
        <f t="shared" si="200"/>
        <v/>
      </c>
      <c r="U774" s="48" t="str">
        <f t="shared" si="201"/>
        <v/>
      </c>
      <c r="W774" s="56">
        <f t="shared" si="192"/>
        <v>0</v>
      </c>
      <c r="X774" s="57" t="str">
        <f t="shared" si="193"/>
        <v/>
      </c>
      <c r="Y774" s="58">
        <f t="shared" si="194"/>
        <v>0</v>
      </c>
      <c r="AA774" s="62" t="str">
        <f t="shared" si="205"/>
        <v/>
      </c>
    </row>
    <row r="775" spans="3:27">
      <c r="C775" s="82"/>
      <c r="E775" s="30" t="str">
        <f t="shared" si="202"/>
        <v>00:00:00</v>
      </c>
      <c r="F775" s="36" t="str">
        <f t="shared" si="195"/>
        <v/>
      </c>
      <c r="G775" s="36">
        <f t="shared" si="196"/>
        <v>0</v>
      </c>
      <c r="H775" s="3" t="str">
        <f t="shared" si="197"/>
        <v/>
      </c>
      <c r="I775" s="3">
        <f t="shared" si="198"/>
        <v>0</v>
      </c>
      <c r="L775" s="35">
        <f t="shared" si="191"/>
        <v>1</v>
      </c>
      <c r="O775" s="27">
        <f t="shared" si="199"/>
        <v>0</v>
      </c>
      <c r="P775" s="3">
        <v>773</v>
      </c>
      <c r="Q775" s="3" t="e">
        <f t="shared" si="203"/>
        <v>#N/A</v>
      </c>
      <c r="R775" s="3" t="e">
        <f t="shared" si="204"/>
        <v>#N/A</v>
      </c>
      <c r="T775" s="46" t="str">
        <f t="shared" si="200"/>
        <v/>
      </c>
      <c r="U775" s="48" t="str">
        <f t="shared" si="201"/>
        <v/>
      </c>
      <c r="W775" s="56">
        <f t="shared" si="192"/>
        <v>0</v>
      </c>
      <c r="X775" s="57" t="str">
        <f t="shared" si="193"/>
        <v/>
      </c>
      <c r="Y775" s="58">
        <f t="shared" si="194"/>
        <v>0</v>
      </c>
      <c r="AA775" s="62" t="str">
        <f t="shared" si="205"/>
        <v/>
      </c>
    </row>
    <row r="776" spans="3:27">
      <c r="C776" s="82"/>
      <c r="E776" s="30" t="str">
        <f t="shared" si="202"/>
        <v>00:00:00</v>
      </c>
      <c r="F776" s="36" t="str">
        <f t="shared" si="195"/>
        <v/>
      </c>
      <c r="G776" s="36">
        <f t="shared" si="196"/>
        <v>0</v>
      </c>
      <c r="H776" s="3" t="str">
        <f t="shared" si="197"/>
        <v/>
      </c>
      <c r="I776" s="3">
        <f t="shared" si="198"/>
        <v>0</v>
      </c>
      <c r="L776" s="35">
        <f t="shared" si="191"/>
        <v>1</v>
      </c>
      <c r="O776" s="27">
        <f t="shared" si="199"/>
        <v>0</v>
      </c>
      <c r="P776" s="3">
        <v>774</v>
      </c>
      <c r="Q776" s="3" t="e">
        <f t="shared" si="203"/>
        <v>#N/A</v>
      </c>
      <c r="R776" s="3" t="e">
        <f t="shared" si="204"/>
        <v>#N/A</v>
      </c>
      <c r="T776" s="46" t="str">
        <f t="shared" si="200"/>
        <v/>
      </c>
      <c r="U776" s="48" t="str">
        <f t="shared" si="201"/>
        <v/>
      </c>
      <c r="W776" s="56">
        <f t="shared" si="192"/>
        <v>0</v>
      </c>
      <c r="X776" s="57" t="str">
        <f t="shared" si="193"/>
        <v/>
      </c>
      <c r="Y776" s="58">
        <f t="shared" si="194"/>
        <v>0</v>
      </c>
      <c r="AA776" s="62" t="str">
        <f t="shared" si="205"/>
        <v/>
      </c>
    </row>
    <row r="777" spans="3:27">
      <c r="C777" s="82"/>
      <c r="E777" s="30" t="str">
        <f t="shared" si="202"/>
        <v>00:00:00</v>
      </c>
      <c r="F777" s="36" t="str">
        <f t="shared" si="195"/>
        <v/>
      </c>
      <c r="G777" s="36">
        <f t="shared" si="196"/>
        <v>0</v>
      </c>
      <c r="H777" s="3" t="str">
        <f t="shared" si="197"/>
        <v/>
      </c>
      <c r="I777" s="3">
        <f t="shared" si="198"/>
        <v>0</v>
      </c>
      <c r="L777" s="35">
        <f t="shared" si="191"/>
        <v>1</v>
      </c>
      <c r="O777" s="27">
        <f t="shared" si="199"/>
        <v>0</v>
      </c>
      <c r="P777" s="3">
        <v>775</v>
      </c>
      <c r="Q777" s="3" t="e">
        <f t="shared" si="203"/>
        <v>#N/A</v>
      </c>
      <c r="R777" s="3" t="e">
        <f t="shared" si="204"/>
        <v>#N/A</v>
      </c>
      <c r="T777" s="46" t="str">
        <f t="shared" si="200"/>
        <v/>
      </c>
      <c r="U777" s="48" t="str">
        <f t="shared" si="201"/>
        <v/>
      </c>
      <c r="W777" s="56">
        <f t="shared" si="192"/>
        <v>0</v>
      </c>
      <c r="X777" s="57" t="str">
        <f t="shared" si="193"/>
        <v/>
      </c>
      <c r="Y777" s="58">
        <f t="shared" si="194"/>
        <v>0</v>
      </c>
      <c r="AA777" s="62" t="str">
        <f t="shared" si="205"/>
        <v/>
      </c>
    </row>
    <row r="778" spans="3:27">
      <c r="C778" s="82"/>
      <c r="E778" s="30" t="str">
        <f t="shared" si="202"/>
        <v>00:00:00</v>
      </c>
      <c r="F778" s="36" t="str">
        <f t="shared" si="195"/>
        <v/>
      </c>
      <c r="G778" s="36">
        <f t="shared" si="196"/>
        <v>0</v>
      </c>
      <c r="H778" s="3" t="str">
        <f t="shared" si="197"/>
        <v/>
      </c>
      <c r="I778" s="3">
        <f t="shared" si="198"/>
        <v>0</v>
      </c>
      <c r="L778" s="35">
        <f t="shared" si="191"/>
        <v>1</v>
      </c>
      <c r="O778" s="27">
        <f t="shared" si="199"/>
        <v>0</v>
      </c>
      <c r="P778" s="3">
        <v>776</v>
      </c>
      <c r="Q778" s="3" t="e">
        <f t="shared" si="203"/>
        <v>#N/A</v>
      </c>
      <c r="R778" s="3" t="e">
        <f t="shared" si="204"/>
        <v>#N/A</v>
      </c>
      <c r="T778" s="46" t="str">
        <f t="shared" si="200"/>
        <v/>
      </c>
      <c r="U778" s="48" t="str">
        <f t="shared" si="201"/>
        <v/>
      </c>
      <c r="W778" s="56">
        <f t="shared" si="192"/>
        <v>0</v>
      </c>
      <c r="X778" s="57" t="str">
        <f t="shared" si="193"/>
        <v/>
      </c>
      <c r="Y778" s="58">
        <f t="shared" si="194"/>
        <v>0</v>
      </c>
      <c r="AA778" s="62" t="str">
        <f t="shared" si="205"/>
        <v/>
      </c>
    </row>
    <row r="779" spans="3:27">
      <c r="C779" s="82"/>
      <c r="E779" s="30" t="str">
        <f t="shared" si="202"/>
        <v>00:00:00</v>
      </c>
      <c r="F779" s="36" t="str">
        <f t="shared" si="195"/>
        <v/>
      </c>
      <c r="G779" s="36">
        <f t="shared" si="196"/>
        <v>0</v>
      </c>
      <c r="H779" s="3" t="str">
        <f t="shared" si="197"/>
        <v/>
      </c>
      <c r="I779" s="3">
        <f t="shared" si="198"/>
        <v>0</v>
      </c>
      <c r="L779" s="35">
        <f t="shared" si="191"/>
        <v>1</v>
      </c>
      <c r="O779" s="27">
        <f t="shared" si="199"/>
        <v>0</v>
      </c>
      <c r="P779" s="3">
        <v>777</v>
      </c>
      <c r="Q779" s="3" t="e">
        <f t="shared" si="203"/>
        <v>#N/A</v>
      </c>
      <c r="R779" s="3" t="e">
        <f t="shared" si="204"/>
        <v>#N/A</v>
      </c>
      <c r="T779" s="46" t="str">
        <f t="shared" si="200"/>
        <v/>
      </c>
      <c r="U779" s="48" t="str">
        <f t="shared" si="201"/>
        <v/>
      </c>
      <c r="W779" s="56">
        <f t="shared" si="192"/>
        <v>0</v>
      </c>
      <c r="X779" s="57" t="str">
        <f t="shared" si="193"/>
        <v/>
      </c>
      <c r="Y779" s="58">
        <f t="shared" si="194"/>
        <v>0</v>
      </c>
      <c r="AA779" s="62" t="str">
        <f t="shared" si="205"/>
        <v/>
      </c>
    </row>
    <row r="780" spans="3:27">
      <c r="C780" s="82"/>
      <c r="E780" s="30" t="str">
        <f t="shared" si="202"/>
        <v>00:00:00</v>
      </c>
      <c r="F780" s="36" t="str">
        <f t="shared" si="195"/>
        <v/>
      </c>
      <c r="G780" s="36">
        <f t="shared" si="196"/>
        <v>0</v>
      </c>
      <c r="H780" s="3" t="str">
        <f t="shared" si="197"/>
        <v/>
      </c>
      <c r="I780" s="3">
        <f t="shared" si="198"/>
        <v>0</v>
      </c>
      <c r="L780" s="35">
        <f t="shared" ref="L780:L843" si="206">IF(I779=1,L779+I779,L779)</f>
        <v>1</v>
      </c>
      <c r="O780" s="27">
        <f t="shared" si="199"/>
        <v>0</v>
      </c>
      <c r="P780" s="3">
        <v>778</v>
      </c>
      <c r="Q780" s="3" t="e">
        <f t="shared" si="203"/>
        <v>#N/A</v>
      </c>
      <c r="R780" s="3" t="e">
        <f t="shared" si="204"/>
        <v>#N/A</v>
      </c>
      <c r="T780" s="46" t="str">
        <f t="shared" si="200"/>
        <v/>
      </c>
      <c r="U780" s="48" t="str">
        <f t="shared" si="201"/>
        <v/>
      </c>
      <c r="W780" s="56">
        <f t="shared" si="192"/>
        <v>0</v>
      </c>
      <c r="X780" s="57" t="str">
        <f t="shared" si="193"/>
        <v/>
      </c>
      <c r="Y780" s="58">
        <f t="shared" si="194"/>
        <v>0</v>
      </c>
      <c r="AA780" s="62" t="str">
        <f t="shared" si="205"/>
        <v/>
      </c>
    </row>
    <row r="781" spans="3:27">
      <c r="C781" s="82"/>
      <c r="E781" s="30" t="str">
        <f t="shared" si="202"/>
        <v>00:00:00</v>
      </c>
      <c r="F781" s="36" t="str">
        <f t="shared" si="195"/>
        <v/>
      </c>
      <c r="G781" s="36">
        <f t="shared" si="196"/>
        <v>0</v>
      </c>
      <c r="H781" s="3" t="str">
        <f t="shared" si="197"/>
        <v/>
      </c>
      <c r="I781" s="3">
        <f t="shared" si="198"/>
        <v>0</v>
      </c>
      <c r="L781" s="35">
        <f t="shared" si="206"/>
        <v>1</v>
      </c>
      <c r="O781" s="27">
        <f t="shared" si="199"/>
        <v>0</v>
      </c>
      <c r="P781" s="3">
        <v>779</v>
      </c>
      <c r="Q781" s="3" t="e">
        <f t="shared" si="203"/>
        <v>#N/A</v>
      </c>
      <c r="R781" s="3" t="e">
        <f t="shared" si="204"/>
        <v>#N/A</v>
      </c>
      <c r="T781" s="46" t="str">
        <f t="shared" si="200"/>
        <v/>
      </c>
      <c r="U781" s="48" t="str">
        <f t="shared" si="201"/>
        <v/>
      </c>
      <c r="W781" s="56">
        <f t="shared" si="192"/>
        <v>0</v>
      </c>
      <c r="X781" s="57" t="str">
        <f t="shared" si="193"/>
        <v/>
      </c>
      <c r="Y781" s="58">
        <f t="shared" si="194"/>
        <v>0</v>
      </c>
      <c r="AA781" s="62" t="str">
        <f t="shared" si="205"/>
        <v/>
      </c>
    </row>
    <row r="782" spans="3:27">
      <c r="C782" s="82"/>
      <c r="E782" s="30" t="str">
        <f t="shared" si="202"/>
        <v>00:00:00</v>
      </c>
      <c r="F782" s="36" t="str">
        <f t="shared" si="195"/>
        <v/>
      </c>
      <c r="G782" s="36">
        <f t="shared" si="196"/>
        <v>0</v>
      </c>
      <c r="H782" s="3" t="str">
        <f t="shared" si="197"/>
        <v/>
      </c>
      <c r="I782" s="3">
        <f t="shared" si="198"/>
        <v>0</v>
      </c>
      <c r="L782" s="35">
        <f t="shared" si="206"/>
        <v>1</v>
      </c>
      <c r="O782" s="27">
        <f t="shared" si="199"/>
        <v>0</v>
      </c>
      <c r="P782" s="3">
        <v>780</v>
      </c>
      <c r="Q782" s="3" t="e">
        <f t="shared" si="203"/>
        <v>#N/A</v>
      </c>
      <c r="R782" s="3" t="e">
        <f t="shared" si="204"/>
        <v>#N/A</v>
      </c>
      <c r="T782" s="46" t="str">
        <f t="shared" si="200"/>
        <v/>
      </c>
      <c r="U782" s="48" t="str">
        <f t="shared" si="201"/>
        <v/>
      </c>
      <c r="W782" s="56">
        <f t="shared" si="192"/>
        <v>0</v>
      </c>
      <c r="X782" s="57" t="str">
        <f t="shared" si="193"/>
        <v/>
      </c>
      <c r="Y782" s="58">
        <f t="shared" si="194"/>
        <v>0</v>
      </c>
      <c r="AA782" s="62" t="str">
        <f t="shared" si="205"/>
        <v/>
      </c>
    </row>
    <row r="783" spans="3:27">
      <c r="C783" s="82"/>
      <c r="E783" s="30" t="str">
        <f t="shared" si="202"/>
        <v>00:00:00</v>
      </c>
      <c r="F783" s="36" t="str">
        <f t="shared" si="195"/>
        <v/>
      </c>
      <c r="G783" s="36">
        <f t="shared" si="196"/>
        <v>0</v>
      </c>
      <c r="H783" s="3" t="str">
        <f t="shared" si="197"/>
        <v/>
      </c>
      <c r="I783" s="3">
        <f t="shared" si="198"/>
        <v>0</v>
      </c>
      <c r="L783" s="35">
        <f t="shared" si="206"/>
        <v>1</v>
      </c>
      <c r="O783" s="27">
        <f t="shared" si="199"/>
        <v>0</v>
      </c>
      <c r="P783" s="3">
        <v>781</v>
      </c>
      <c r="Q783" s="3" t="e">
        <f t="shared" si="203"/>
        <v>#N/A</v>
      </c>
      <c r="R783" s="3" t="e">
        <f t="shared" si="204"/>
        <v>#N/A</v>
      </c>
      <c r="T783" s="46" t="str">
        <f t="shared" si="200"/>
        <v/>
      </c>
      <c r="U783" s="48" t="str">
        <f t="shared" si="201"/>
        <v/>
      </c>
      <c r="W783" s="56">
        <f t="shared" si="192"/>
        <v>0</v>
      </c>
      <c r="X783" s="57" t="str">
        <f t="shared" si="193"/>
        <v/>
      </c>
      <c r="Y783" s="58">
        <f t="shared" si="194"/>
        <v>0</v>
      </c>
      <c r="AA783" s="62" t="str">
        <f t="shared" si="205"/>
        <v/>
      </c>
    </row>
    <row r="784" spans="3:27">
      <c r="C784" s="82"/>
      <c r="E784" s="30" t="str">
        <f t="shared" si="202"/>
        <v>00:00:00</v>
      </c>
      <c r="F784" s="36" t="str">
        <f t="shared" si="195"/>
        <v/>
      </c>
      <c r="G784" s="36">
        <f t="shared" si="196"/>
        <v>0</v>
      </c>
      <c r="H784" s="3" t="str">
        <f t="shared" si="197"/>
        <v/>
      </c>
      <c r="I784" s="3">
        <f t="shared" si="198"/>
        <v>0</v>
      </c>
      <c r="L784" s="35">
        <f t="shared" si="206"/>
        <v>1</v>
      </c>
      <c r="O784" s="27">
        <f t="shared" si="199"/>
        <v>0</v>
      </c>
      <c r="P784" s="3">
        <v>782</v>
      </c>
      <c r="Q784" s="3" t="e">
        <f t="shared" si="203"/>
        <v>#N/A</v>
      </c>
      <c r="R784" s="3" t="e">
        <f t="shared" si="204"/>
        <v>#N/A</v>
      </c>
      <c r="T784" s="46" t="str">
        <f t="shared" si="200"/>
        <v/>
      </c>
      <c r="U784" s="48" t="str">
        <f t="shared" si="201"/>
        <v/>
      </c>
      <c r="W784" s="56">
        <f t="shared" si="192"/>
        <v>0</v>
      </c>
      <c r="X784" s="57" t="str">
        <f t="shared" si="193"/>
        <v/>
      </c>
      <c r="Y784" s="58">
        <f t="shared" si="194"/>
        <v>0</v>
      </c>
      <c r="AA784" s="62" t="str">
        <f t="shared" si="205"/>
        <v/>
      </c>
    </row>
    <row r="785" spans="3:27">
      <c r="C785" s="82"/>
      <c r="E785" s="30" t="str">
        <f t="shared" si="202"/>
        <v>00:00:00</v>
      </c>
      <c r="F785" s="36" t="str">
        <f t="shared" si="195"/>
        <v/>
      </c>
      <c r="G785" s="36">
        <f t="shared" si="196"/>
        <v>0</v>
      </c>
      <c r="H785" s="3" t="str">
        <f t="shared" si="197"/>
        <v/>
      </c>
      <c r="I785" s="3">
        <f t="shared" si="198"/>
        <v>0</v>
      </c>
      <c r="L785" s="35">
        <f t="shared" si="206"/>
        <v>1</v>
      </c>
      <c r="O785" s="27">
        <f t="shared" si="199"/>
        <v>0</v>
      </c>
      <c r="P785" s="3">
        <v>783</v>
      </c>
      <c r="Q785" s="3" t="e">
        <f t="shared" si="203"/>
        <v>#N/A</v>
      </c>
      <c r="R785" s="3" t="e">
        <f t="shared" si="204"/>
        <v>#N/A</v>
      </c>
      <c r="T785" s="46" t="str">
        <f t="shared" si="200"/>
        <v/>
      </c>
      <c r="U785" s="48" t="str">
        <f t="shared" si="201"/>
        <v/>
      </c>
      <c r="W785" s="56">
        <f t="shared" si="192"/>
        <v>0</v>
      </c>
      <c r="X785" s="57" t="str">
        <f t="shared" si="193"/>
        <v/>
      </c>
      <c r="Y785" s="58">
        <f t="shared" si="194"/>
        <v>0</v>
      </c>
      <c r="AA785" s="62" t="str">
        <f t="shared" si="205"/>
        <v/>
      </c>
    </row>
    <row r="786" spans="3:27">
      <c r="C786" s="82"/>
      <c r="E786" s="30" t="str">
        <f t="shared" si="202"/>
        <v>00:00:00</v>
      </c>
      <c r="F786" s="36" t="str">
        <f t="shared" si="195"/>
        <v/>
      </c>
      <c r="G786" s="36">
        <f t="shared" si="196"/>
        <v>0</v>
      </c>
      <c r="H786" s="3" t="str">
        <f t="shared" si="197"/>
        <v/>
      </c>
      <c r="I786" s="3">
        <f t="shared" si="198"/>
        <v>0</v>
      </c>
      <c r="L786" s="35">
        <f t="shared" si="206"/>
        <v>1</v>
      </c>
      <c r="O786" s="27">
        <f t="shared" si="199"/>
        <v>0</v>
      </c>
      <c r="P786" s="3">
        <v>784</v>
      </c>
      <c r="Q786" s="3" t="e">
        <f t="shared" si="203"/>
        <v>#N/A</v>
      </c>
      <c r="R786" s="3" t="e">
        <f t="shared" si="204"/>
        <v>#N/A</v>
      </c>
      <c r="T786" s="46" t="str">
        <f t="shared" si="200"/>
        <v/>
      </c>
      <c r="U786" s="48" t="str">
        <f t="shared" si="201"/>
        <v/>
      </c>
      <c r="W786" s="56">
        <f t="shared" si="192"/>
        <v>0</v>
      </c>
      <c r="X786" s="57" t="str">
        <f t="shared" si="193"/>
        <v/>
      </c>
      <c r="Y786" s="58">
        <f t="shared" si="194"/>
        <v>0</v>
      </c>
      <c r="AA786" s="62" t="str">
        <f t="shared" si="205"/>
        <v/>
      </c>
    </row>
    <row r="787" spans="3:27">
      <c r="C787" s="82"/>
      <c r="E787" s="30" t="str">
        <f t="shared" si="202"/>
        <v>00:00:00</v>
      </c>
      <c r="F787" s="36" t="str">
        <f t="shared" si="195"/>
        <v/>
      </c>
      <c r="G787" s="36">
        <f t="shared" si="196"/>
        <v>0</v>
      </c>
      <c r="H787" s="3" t="str">
        <f t="shared" si="197"/>
        <v/>
      </c>
      <c r="I787" s="3">
        <f t="shared" si="198"/>
        <v>0</v>
      </c>
      <c r="L787" s="35">
        <f t="shared" si="206"/>
        <v>1</v>
      </c>
      <c r="O787" s="27">
        <f t="shared" si="199"/>
        <v>0</v>
      </c>
      <c r="P787" s="3">
        <v>785</v>
      </c>
      <c r="Q787" s="3" t="e">
        <f t="shared" si="203"/>
        <v>#N/A</v>
      </c>
      <c r="R787" s="3" t="e">
        <f t="shared" si="204"/>
        <v>#N/A</v>
      </c>
      <c r="T787" s="46" t="str">
        <f t="shared" si="200"/>
        <v/>
      </c>
      <c r="U787" s="48" t="str">
        <f t="shared" si="201"/>
        <v/>
      </c>
      <c r="W787" s="56">
        <f t="shared" si="192"/>
        <v>0</v>
      </c>
      <c r="X787" s="57" t="str">
        <f t="shared" si="193"/>
        <v/>
      </c>
      <c r="Y787" s="58">
        <f t="shared" si="194"/>
        <v>0</v>
      </c>
      <c r="AA787" s="62" t="str">
        <f t="shared" si="205"/>
        <v/>
      </c>
    </row>
    <row r="788" spans="3:27">
      <c r="C788" s="82"/>
      <c r="E788" s="30" t="str">
        <f t="shared" si="202"/>
        <v>00:00:00</v>
      </c>
      <c r="F788" s="36" t="str">
        <f t="shared" si="195"/>
        <v/>
      </c>
      <c r="G788" s="36">
        <f t="shared" si="196"/>
        <v>0</v>
      </c>
      <c r="H788" s="3" t="str">
        <f t="shared" si="197"/>
        <v/>
      </c>
      <c r="I788" s="3">
        <f t="shared" si="198"/>
        <v>0</v>
      </c>
      <c r="L788" s="35">
        <f t="shared" si="206"/>
        <v>1</v>
      </c>
      <c r="O788" s="27">
        <f t="shared" si="199"/>
        <v>0</v>
      </c>
      <c r="P788" s="3">
        <v>786</v>
      </c>
      <c r="Q788" s="3" t="e">
        <f t="shared" si="203"/>
        <v>#N/A</v>
      </c>
      <c r="R788" s="3" t="e">
        <f t="shared" si="204"/>
        <v>#N/A</v>
      </c>
      <c r="T788" s="46" t="str">
        <f t="shared" si="200"/>
        <v/>
      </c>
      <c r="U788" s="48" t="str">
        <f t="shared" si="201"/>
        <v/>
      </c>
      <c r="W788" s="56">
        <f t="shared" si="192"/>
        <v>0</v>
      </c>
      <c r="X788" s="57" t="str">
        <f t="shared" si="193"/>
        <v/>
      </c>
      <c r="Y788" s="58">
        <f t="shared" si="194"/>
        <v>0</v>
      </c>
      <c r="AA788" s="62" t="str">
        <f t="shared" si="205"/>
        <v/>
      </c>
    </row>
    <row r="789" spans="3:27">
      <c r="C789" s="82"/>
      <c r="E789" s="30" t="str">
        <f t="shared" si="202"/>
        <v>00:00:00</v>
      </c>
      <c r="F789" s="36" t="str">
        <f t="shared" si="195"/>
        <v/>
      </c>
      <c r="G789" s="36">
        <f t="shared" si="196"/>
        <v>0</v>
      </c>
      <c r="H789" s="3" t="str">
        <f t="shared" si="197"/>
        <v/>
      </c>
      <c r="I789" s="3">
        <f t="shared" si="198"/>
        <v>0</v>
      </c>
      <c r="L789" s="35">
        <f t="shared" si="206"/>
        <v>1</v>
      </c>
      <c r="O789" s="27">
        <f t="shared" si="199"/>
        <v>0</v>
      </c>
      <c r="P789" s="3">
        <v>787</v>
      </c>
      <c r="Q789" s="3" t="e">
        <f t="shared" si="203"/>
        <v>#N/A</v>
      </c>
      <c r="R789" s="3" t="e">
        <f t="shared" si="204"/>
        <v>#N/A</v>
      </c>
      <c r="T789" s="46" t="str">
        <f t="shared" si="200"/>
        <v/>
      </c>
      <c r="U789" s="48" t="str">
        <f t="shared" si="201"/>
        <v/>
      </c>
      <c r="W789" s="56">
        <f t="shared" si="192"/>
        <v>0</v>
      </c>
      <c r="X789" s="57" t="str">
        <f t="shared" si="193"/>
        <v/>
      </c>
      <c r="Y789" s="58">
        <f t="shared" si="194"/>
        <v>0</v>
      </c>
      <c r="AA789" s="62" t="str">
        <f t="shared" si="205"/>
        <v/>
      </c>
    </row>
    <row r="790" spans="3:27">
      <c r="C790" s="82"/>
      <c r="E790" s="30" t="str">
        <f t="shared" si="202"/>
        <v>00:00:00</v>
      </c>
      <c r="F790" s="36" t="str">
        <f t="shared" si="195"/>
        <v/>
      </c>
      <c r="G790" s="36">
        <f t="shared" si="196"/>
        <v>0</v>
      </c>
      <c r="H790" s="3" t="str">
        <f t="shared" si="197"/>
        <v/>
      </c>
      <c r="I790" s="3">
        <f t="shared" si="198"/>
        <v>0</v>
      </c>
      <c r="L790" s="35">
        <f t="shared" si="206"/>
        <v>1</v>
      </c>
      <c r="O790" s="27">
        <f t="shared" si="199"/>
        <v>0</v>
      </c>
      <c r="P790" s="3">
        <v>788</v>
      </c>
      <c r="Q790" s="3" t="e">
        <f t="shared" si="203"/>
        <v>#N/A</v>
      </c>
      <c r="R790" s="3" t="e">
        <f t="shared" si="204"/>
        <v>#N/A</v>
      </c>
      <c r="T790" s="46" t="str">
        <f t="shared" si="200"/>
        <v/>
      </c>
      <c r="U790" s="48" t="str">
        <f t="shared" si="201"/>
        <v/>
      </c>
      <c r="W790" s="56">
        <f t="shared" si="192"/>
        <v>0</v>
      </c>
      <c r="X790" s="57" t="str">
        <f t="shared" si="193"/>
        <v/>
      </c>
      <c r="Y790" s="58">
        <f t="shared" si="194"/>
        <v>0</v>
      </c>
      <c r="AA790" s="62" t="str">
        <f t="shared" si="205"/>
        <v/>
      </c>
    </row>
    <row r="791" spans="3:27">
      <c r="C791" s="82"/>
      <c r="E791" s="30" t="str">
        <f t="shared" si="202"/>
        <v>00:00:00</v>
      </c>
      <c r="F791" s="36" t="str">
        <f t="shared" si="195"/>
        <v/>
      </c>
      <c r="G791" s="36">
        <f t="shared" si="196"/>
        <v>0</v>
      </c>
      <c r="H791" s="3" t="str">
        <f t="shared" si="197"/>
        <v/>
      </c>
      <c r="I791" s="3">
        <f t="shared" si="198"/>
        <v>0</v>
      </c>
      <c r="L791" s="35">
        <f t="shared" si="206"/>
        <v>1</v>
      </c>
      <c r="O791" s="27">
        <f t="shared" si="199"/>
        <v>0</v>
      </c>
      <c r="P791" s="3">
        <v>789</v>
      </c>
      <c r="Q791" s="3" t="e">
        <f t="shared" si="203"/>
        <v>#N/A</v>
      </c>
      <c r="R791" s="3" t="e">
        <f t="shared" si="204"/>
        <v>#N/A</v>
      </c>
      <c r="T791" s="46" t="str">
        <f t="shared" si="200"/>
        <v/>
      </c>
      <c r="U791" s="48" t="str">
        <f t="shared" si="201"/>
        <v/>
      </c>
      <c r="W791" s="56">
        <f t="shared" si="192"/>
        <v>0</v>
      </c>
      <c r="X791" s="57" t="str">
        <f t="shared" si="193"/>
        <v/>
      </c>
      <c r="Y791" s="58">
        <f t="shared" si="194"/>
        <v>0</v>
      </c>
      <c r="AA791" s="62" t="str">
        <f t="shared" si="205"/>
        <v/>
      </c>
    </row>
    <row r="792" spans="3:27">
      <c r="C792" s="82"/>
      <c r="E792" s="30" t="str">
        <f t="shared" si="202"/>
        <v>00:00:00</v>
      </c>
      <c r="F792" s="36" t="str">
        <f t="shared" si="195"/>
        <v/>
      </c>
      <c r="G792" s="36">
        <f t="shared" si="196"/>
        <v>0</v>
      </c>
      <c r="H792" s="3" t="str">
        <f t="shared" si="197"/>
        <v/>
      </c>
      <c r="I792" s="3">
        <f t="shared" si="198"/>
        <v>0</v>
      </c>
      <c r="L792" s="35">
        <f t="shared" si="206"/>
        <v>1</v>
      </c>
      <c r="O792" s="27">
        <f t="shared" si="199"/>
        <v>0</v>
      </c>
      <c r="P792" s="3">
        <v>790</v>
      </c>
      <c r="Q792" s="3" t="e">
        <f t="shared" si="203"/>
        <v>#N/A</v>
      </c>
      <c r="R792" s="3" t="e">
        <f t="shared" si="204"/>
        <v>#N/A</v>
      </c>
      <c r="T792" s="46" t="str">
        <f t="shared" si="200"/>
        <v/>
      </c>
      <c r="U792" s="48" t="str">
        <f t="shared" si="201"/>
        <v/>
      </c>
      <c r="W792" s="56">
        <f t="shared" si="192"/>
        <v>0</v>
      </c>
      <c r="X792" s="57" t="str">
        <f t="shared" si="193"/>
        <v/>
      </c>
      <c r="Y792" s="58">
        <f t="shared" si="194"/>
        <v>0</v>
      </c>
      <c r="AA792" s="62" t="str">
        <f t="shared" si="205"/>
        <v/>
      </c>
    </row>
    <row r="793" spans="3:27">
      <c r="C793" s="82"/>
      <c r="E793" s="30" t="str">
        <f t="shared" si="202"/>
        <v>00:00:00</v>
      </c>
      <c r="F793" s="36" t="str">
        <f t="shared" si="195"/>
        <v/>
      </c>
      <c r="G793" s="36">
        <f t="shared" si="196"/>
        <v>0</v>
      </c>
      <c r="H793" s="3" t="str">
        <f t="shared" si="197"/>
        <v/>
      </c>
      <c r="I793" s="3">
        <f t="shared" si="198"/>
        <v>0</v>
      </c>
      <c r="L793" s="35">
        <f t="shared" si="206"/>
        <v>1</v>
      </c>
      <c r="O793" s="27">
        <f t="shared" si="199"/>
        <v>0</v>
      </c>
      <c r="P793" s="3">
        <v>791</v>
      </c>
      <c r="Q793" s="3" t="e">
        <f t="shared" si="203"/>
        <v>#N/A</v>
      </c>
      <c r="R793" s="3" t="e">
        <f t="shared" si="204"/>
        <v>#N/A</v>
      </c>
      <c r="T793" s="46" t="str">
        <f t="shared" si="200"/>
        <v/>
      </c>
      <c r="U793" s="48" t="str">
        <f t="shared" si="201"/>
        <v/>
      </c>
      <c r="W793" s="56">
        <f t="shared" si="192"/>
        <v>0</v>
      </c>
      <c r="X793" s="57" t="str">
        <f t="shared" si="193"/>
        <v/>
      </c>
      <c r="Y793" s="58">
        <f t="shared" si="194"/>
        <v>0</v>
      </c>
      <c r="AA793" s="62" t="str">
        <f t="shared" si="205"/>
        <v/>
      </c>
    </row>
    <row r="794" spans="3:27">
      <c r="C794" s="82"/>
      <c r="E794" s="30" t="str">
        <f t="shared" si="202"/>
        <v>00:00:00</v>
      </c>
      <c r="F794" s="36" t="str">
        <f t="shared" si="195"/>
        <v/>
      </c>
      <c r="G794" s="36">
        <f t="shared" si="196"/>
        <v>0</v>
      </c>
      <c r="H794" s="3" t="str">
        <f t="shared" si="197"/>
        <v/>
      </c>
      <c r="I794" s="3">
        <f t="shared" si="198"/>
        <v>0</v>
      </c>
      <c r="L794" s="35">
        <f t="shared" si="206"/>
        <v>1</v>
      </c>
      <c r="O794" s="27">
        <f t="shared" si="199"/>
        <v>0</v>
      </c>
      <c r="P794" s="3">
        <v>792</v>
      </c>
      <c r="Q794" s="3" t="e">
        <f t="shared" si="203"/>
        <v>#N/A</v>
      </c>
      <c r="R794" s="3" t="e">
        <f t="shared" si="204"/>
        <v>#N/A</v>
      </c>
      <c r="T794" s="46" t="str">
        <f t="shared" si="200"/>
        <v/>
      </c>
      <c r="U794" s="48" t="str">
        <f t="shared" si="201"/>
        <v/>
      </c>
      <c r="W794" s="56">
        <f t="shared" si="192"/>
        <v>0</v>
      </c>
      <c r="X794" s="57" t="str">
        <f t="shared" si="193"/>
        <v/>
      </c>
      <c r="Y794" s="58">
        <f t="shared" si="194"/>
        <v>0</v>
      </c>
      <c r="AA794" s="62" t="str">
        <f t="shared" si="205"/>
        <v/>
      </c>
    </row>
    <row r="795" spans="3:27">
      <c r="C795" s="82"/>
      <c r="E795" s="30" t="str">
        <f t="shared" si="202"/>
        <v>00:00:00</v>
      </c>
      <c r="F795" s="36" t="str">
        <f t="shared" si="195"/>
        <v/>
      </c>
      <c r="G795" s="36">
        <f t="shared" si="196"/>
        <v>0</v>
      </c>
      <c r="H795" s="3" t="str">
        <f t="shared" si="197"/>
        <v/>
      </c>
      <c r="I795" s="3">
        <f t="shared" si="198"/>
        <v>0</v>
      </c>
      <c r="L795" s="35">
        <f t="shared" si="206"/>
        <v>1</v>
      </c>
      <c r="O795" s="27">
        <f t="shared" si="199"/>
        <v>0</v>
      </c>
      <c r="P795" s="3">
        <v>793</v>
      </c>
      <c r="Q795" s="3" t="e">
        <f t="shared" si="203"/>
        <v>#N/A</v>
      </c>
      <c r="R795" s="3" t="e">
        <f t="shared" si="204"/>
        <v>#N/A</v>
      </c>
      <c r="T795" s="46" t="str">
        <f t="shared" si="200"/>
        <v/>
      </c>
      <c r="U795" s="48" t="str">
        <f t="shared" si="201"/>
        <v/>
      </c>
      <c r="W795" s="56">
        <f t="shared" si="192"/>
        <v>0</v>
      </c>
      <c r="X795" s="57" t="str">
        <f t="shared" si="193"/>
        <v/>
      </c>
      <c r="Y795" s="58">
        <f t="shared" si="194"/>
        <v>0</v>
      </c>
      <c r="AA795" s="62" t="str">
        <f t="shared" si="205"/>
        <v/>
      </c>
    </row>
    <row r="796" spans="3:27">
      <c r="C796" s="82"/>
      <c r="E796" s="30" t="str">
        <f t="shared" si="202"/>
        <v>00:00:00</v>
      </c>
      <c r="F796" s="36" t="str">
        <f t="shared" si="195"/>
        <v/>
      </c>
      <c r="G796" s="36">
        <f t="shared" si="196"/>
        <v>0</v>
      </c>
      <c r="H796" s="3" t="str">
        <f t="shared" si="197"/>
        <v/>
      </c>
      <c r="I796" s="3">
        <f t="shared" si="198"/>
        <v>0</v>
      </c>
      <c r="L796" s="35">
        <f t="shared" si="206"/>
        <v>1</v>
      </c>
      <c r="O796" s="27">
        <f t="shared" si="199"/>
        <v>0</v>
      </c>
      <c r="P796" s="3">
        <v>794</v>
      </c>
      <c r="Q796" s="3" t="e">
        <f t="shared" si="203"/>
        <v>#N/A</v>
      </c>
      <c r="R796" s="3" t="e">
        <f t="shared" si="204"/>
        <v>#N/A</v>
      </c>
      <c r="T796" s="46" t="str">
        <f t="shared" si="200"/>
        <v/>
      </c>
      <c r="U796" s="48" t="str">
        <f t="shared" si="201"/>
        <v/>
      </c>
      <c r="W796" s="56">
        <f t="shared" si="192"/>
        <v>0</v>
      </c>
      <c r="X796" s="57" t="str">
        <f t="shared" si="193"/>
        <v/>
      </c>
      <c r="Y796" s="58">
        <f t="shared" si="194"/>
        <v>0</v>
      </c>
      <c r="AA796" s="62" t="str">
        <f t="shared" si="205"/>
        <v/>
      </c>
    </row>
    <row r="797" spans="3:27">
      <c r="C797" s="82"/>
      <c r="E797" s="30" t="str">
        <f t="shared" si="202"/>
        <v>00:00:00</v>
      </c>
      <c r="F797" s="36" t="str">
        <f t="shared" si="195"/>
        <v/>
      </c>
      <c r="G797" s="36">
        <f t="shared" si="196"/>
        <v>0</v>
      </c>
      <c r="H797" s="3" t="str">
        <f t="shared" si="197"/>
        <v/>
      </c>
      <c r="I797" s="3">
        <f t="shared" si="198"/>
        <v>0</v>
      </c>
      <c r="L797" s="35">
        <f t="shared" si="206"/>
        <v>1</v>
      </c>
      <c r="O797" s="27">
        <f t="shared" si="199"/>
        <v>0</v>
      </c>
      <c r="P797" s="3">
        <v>795</v>
      </c>
      <c r="Q797" s="3" t="e">
        <f t="shared" si="203"/>
        <v>#N/A</v>
      </c>
      <c r="R797" s="3" t="e">
        <f t="shared" si="204"/>
        <v>#N/A</v>
      </c>
      <c r="T797" s="46" t="str">
        <f t="shared" si="200"/>
        <v/>
      </c>
      <c r="U797" s="48" t="str">
        <f t="shared" si="201"/>
        <v/>
      </c>
      <c r="W797" s="56">
        <f t="shared" si="192"/>
        <v>0</v>
      </c>
      <c r="X797" s="57" t="str">
        <f t="shared" si="193"/>
        <v/>
      </c>
      <c r="Y797" s="58">
        <f t="shared" si="194"/>
        <v>0</v>
      </c>
      <c r="AA797" s="62" t="str">
        <f t="shared" si="205"/>
        <v/>
      </c>
    </row>
    <row r="798" spans="3:27">
      <c r="C798" s="82"/>
      <c r="E798" s="30" t="str">
        <f t="shared" si="202"/>
        <v>00:00:00</v>
      </c>
      <c r="F798" s="36" t="str">
        <f t="shared" si="195"/>
        <v/>
      </c>
      <c r="G798" s="36">
        <f t="shared" si="196"/>
        <v>0</v>
      </c>
      <c r="H798" s="3" t="str">
        <f t="shared" si="197"/>
        <v/>
      </c>
      <c r="I798" s="3">
        <f t="shared" si="198"/>
        <v>0</v>
      </c>
      <c r="L798" s="35">
        <f t="shared" si="206"/>
        <v>1</v>
      </c>
      <c r="O798" s="27">
        <f t="shared" si="199"/>
        <v>0</v>
      </c>
      <c r="P798" s="3">
        <v>796</v>
      </c>
      <c r="Q798" s="3" t="e">
        <f t="shared" si="203"/>
        <v>#N/A</v>
      </c>
      <c r="R798" s="3" t="e">
        <f t="shared" si="204"/>
        <v>#N/A</v>
      </c>
      <c r="T798" s="46" t="str">
        <f t="shared" si="200"/>
        <v/>
      </c>
      <c r="U798" s="48" t="str">
        <f t="shared" si="201"/>
        <v/>
      </c>
      <c r="W798" s="56">
        <f t="shared" si="192"/>
        <v>0</v>
      </c>
      <c r="X798" s="57" t="str">
        <f t="shared" si="193"/>
        <v/>
      </c>
      <c r="Y798" s="58">
        <f t="shared" si="194"/>
        <v>0</v>
      </c>
      <c r="AA798" s="62" t="str">
        <f t="shared" si="205"/>
        <v/>
      </c>
    </row>
    <row r="799" spans="3:27">
      <c r="C799" s="82"/>
      <c r="E799" s="30" t="str">
        <f t="shared" si="202"/>
        <v>00:00:00</v>
      </c>
      <c r="F799" s="36" t="str">
        <f t="shared" si="195"/>
        <v/>
      </c>
      <c r="G799" s="36">
        <f t="shared" si="196"/>
        <v>0</v>
      </c>
      <c r="H799" s="3" t="str">
        <f t="shared" si="197"/>
        <v/>
      </c>
      <c r="I799" s="3">
        <f t="shared" si="198"/>
        <v>0</v>
      </c>
      <c r="L799" s="35">
        <f t="shared" si="206"/>
        <v>1</v>
      </c>
      <c r="O799" s="27">
        <f t="shared" si="199"/>
        <v>0</v>
      </c>
      <c r="P799" s="3">
        <v>797</v>
      </c>
      <c r="Q799" s="3" t="e">
        <f t="shared" si="203"/>
        <v>#N/A</v>
      </c>
      <c r="R799" s="3" t="e">
        <f t="shared" si="204"/>
        <v>#N/A</v>
      </c>
      <c r="T799" s="46" t="str">
        <f t="shared" si="200"/>
        <v/>
      </c>
      <c r="U799" s="48" t="str">
        <f t="shared" si="201"/>
        <v/>
      </c>
      <c r="W799" s="56">
        <f t="shared" si="192"/>
        <v>0</v>
      </c>
      <c r="X799" s="57" t="str">
        <f t="shared" si="193"/>
        <v/>
      </c>
      <c r="Y799" s="58">
        <f t="shared" si="194"/>
        <v>0</v>
      </c>
      <c r="AA799" s="62" t="str">
        <f t="shared" si="205"/>
        <v/>
      </c>
    </row>
    <row r="800" spans="3:27">
      <c r="C800" s="82"/>
      <c r="E800" s="30" t="str">
        <f t="shared" si="202"/>
        <v>00:00:00</v>
      </c>
      <c r="F800" s="36" t="str">
        <f t="shared" si="195"/>
        <v/>
      </c>
      <c r="G800" s="36">
        <f t="shared" si="196"/>
        <v>0</v>
      </c>
      <c r="H800" s="3" t="str">
        <f t="shared" si="197"/>
        <v/>
      </c>
      <c r="I800" s="3">
        <f t="shared" si="198"/>
        <v>0</v>
      </c>
      <c r="L800" s="35">
        <f t="shared" si="206"/>
        <v>1</v>
      </c>
      <c r="O800" s="27">
        <f t="shared" si="199"/>
        <v>0</v>
      </c>
      <c r="P800" s="3">
        <v>798</v>
      </c>
      <c r="Q800" s="3" t="e">
        <f t="shared" si="203"/>
        <v>#N/A</v>
      </c>
      <c r="R800" s="3" t="e">
        <f t="shared" si="204"/>
        <v>#N/A</v>
      </c>
      <c r="T800" s="46" t="str">
        <f t="shared" si="200"/>
        <v/>
      </c>
      <c r="U800" s="48" t="str">
        <f t="shared" si="201"/>
        <v/>
      </c>
      <c r="W800" s="56">
        <f t="shared" si="192"/>
        <v>0</v>
      </c>
      <c r="X800" s="57" t="str">
        <f t="shared" si="193"/>
        <v/>
      </c>
      <c r="Y800" s="58">
        <f t="shared" si="194"/>
        <v>0</v>
      </c>
      <c r="AA800" s="62" t="str">
        <f t="shared" si="205"/>
        <v/>
      </c>
    </row>
    <row r="801" spans="3:27">
      <c r="C801" s="82"/>
      <c r="E801" s="30" t="str">
        <f t="shared" si="202"/>
        <v>00:00:00</v>
      </c>
      <c r="F801" s="36" t="str">
        <f t="shared" si="195"/>
        <v/>
      </c>
      <c r="G801" s="36">
        <f t="shared" si="196"/>
        <v>0</v>
      </c>
      <c r="H801" s="3" t="str">
        <f t="shared" si="197"/>
        <v/>
      </c>
      <c r="I801" s="3">
        <f t="shared" si="198"/>
        <v>0</v>
      </c>
      <c r="L801" s="35">
        <f t="shared" si="206"/>
        <v>1</v>
      </c>
      <c r="O801" s="27">
        <f t="shared" si="199"/>
        <v>0</v>
      </c>
      <c r="P801" s="3">
        <v>799</v>
      </c>
      <c r="Q801" s="3" t="e">
        <f t="shared" si="203"/>
        <v>#N/A</v>
      </c>
      <c r="R801" s="3" t="e">
        <f t="shared" si="204"/>
        <v>#N/A</v>
      </c>
      <c r="T801" s="46" t="str">
        <f t="shared" si="200"/>
        <v/>
      </c>
      <c r="U801" s="48" t="str">
        <f t="shared" si="201"/>
        <v/>
      </c>
      <c r="W801" s="56">
        <f t="shared" si="192"/>
        <v>0</v>
      </c>
      <c r="X801" s="57" t="str">
        <f t="shared" si="193"/>
        <v/>
      </c>
      <c r="Y801" s="58">
        <f t="shared" si="194"/>
        <v>0</v>
      </c>
      <c r="AA801" s="62" t="str">
        <f t="shared" si="205"/>
        <v/>
      </c>
    </row>
    <row r="802" spans="3:27">
      <c r="C802" s="82"/>
      <c r="E802" s="30" t="str">
        <f t="shared" si="202"/>
        <v>00:00:00</v>
      </c>
      <c r="F802" s="36" t="str">
        <f t="shared" si="195"/>
        <v/>
      </c>
      <c r="G802" s="36">
        <f t="shared" si="196"/>
        <v>0</v>
      </c>
      <c r="H802" s="3" t="str">
        <f t="shared" si="197"/>
        <v/>
      </c>
      <c r="I802" s="3">
        <f t="shared" si="198"/>
        <v>0</v>
      </c>
      <c r="L802" s="35">
        <f t="shared" si="206"/>
        <v>1</v>
      </c>
      <c r="O802" s="27">
        <f t="shared" si="199"/>
        <v>0</v>
      </c>
      <c r="P802" s="3">
        <v>800</v>
      </c>
      <c r="Q802" s="3" t="e">
        <f t="shared" si="203"/>
        <v>#N/A</v>
      </c>
      <c r="R802" s="3" t="e">
        <f t="shared" si="204"/>
        <v>#N/A</v>
      </c>
      <c r="T802" s="46" t="str">
        <f t="shared" si="200"/>
        <v/>
      </c>
      <c r="U802" s="48" t="str">
        <f t="shared" si="201"/>
        <v/>
      </c>
      <c r="W802" s="56">
        <f t="shared" si="192"/>
        <v>0</v>
      </c>
      <c r="X802" s="57" t="str">
        <f t="shared" si="193"/>
        <v/>
      </c>
      <c r="Y802" s="58">
        <f t="shared" si="194"/>
        <v>0</v>
      </c>
      <c r="AA802" s="62" t="str">
        <f t="shared" si="205"/>
        <v/>
      </c>
    </row>
    <row r="803" spans="3:27">
      <c r="C803" s="82"/>
      <c r="E803" s="30" t="str">
        <f t="shared" si="202"/>
        <v>00:00:00</v>
      </c>
      <c r="F803" s="36" t="str">
        <f t="shared" si="195"/>
        <v/>
      </c>
      <c r="G803" s="36">
        <f t="shared" si="196"/>
        <v>0</v>
      </c>
      <c r="H803" s="3" t="str">
        <f t="shared" si="197"/>
        <v/>
      </c>
      <c r="I803" s="3">
        <f t="shared" si="198"/>
        <v>0</v>
      </c>
      <c r="L803" s="35">
        <f t="shared" si="206"/>
        <v>1</v>
      </c>
      <c r="O803" s="27">
        <f t="shared" si="199"/>
        <v>0</v>
      </c>
      <c r="P803" s="3">
        <v>801</v>
      </c>
      <c r="Q803" s="3" t="e">
        <f t="shared" si="203"/>
        <v>#N/A</v>
      </c>
      <c r="R803" s="3" t="e">
        <f t="shared" si="204"/>
        <v>#N/A</v>
      </c>
      <c r="T803" s="46" t="str">
        <f t="shared" si="200"/>
        <v/>
      </c>
      <c r="U803" s="48" t="str">
        <f t="shared" si="201"/>
        <v/>
      </c>
      <c r="W803" s="56">
        <f t="shared" si="192"/>
        <v>0</v>
      </c>
      <c r="X803" s="57" t="str">
        <f t="shared" si="193"/>
        <v/>
      </c>
      <c r="Y803" s="58">
        <f t="shared" si="194"/>
        <v>0</v>
      </c>
      <c r="AA803" s="62" t="str">
        <f t="shared" si="205"/>
        <v/>
      </c>
    </row>
    <row r="804" spans="3:27">
      <c r="C804" s="82"/>
      <c r="E804" s="30" t="str">
        <f t="shared" si="202"/>
        <v>00:00:00</v>
      </c>
      <c r="F804" s="36" t="str">
        <f t="shared" si="195"/>
        <v/>
      </c>
      <c r="G804" s="36">
        <f t="shared" si="196"/>
        <v>0</v>
      </c>
      <c r="H804" s="3" t="str">
        <f t="shared" si="197"/>
        <v/>
      </c>
      <c r="I804" s="3">
        <f t="shared" si="198"/>
        <v>0</v>
      </c>
      <c r="L804" s="35">
        <f t="shared" si="206"/>
        <v>1</v>
      </c>
      <c r="O804" s="27">
        <f t="shared" si="199"/>
        <v>0</v>
      </c>
      <c r="P804" s="3">
        <v>802</v>
      </c>
      <c r="Q804" s="3" t="e">
        <f t="shared" si="203"/>
        <v>#N/A</v>
      </c>
      <c r="R804" s="3" t="e">
        <f t="shared" si="204"/>
        <v>#N/A</v>
      </c>
      <c r="T804" s="46" t="str">
        <f t="shared" si="200"/>
        <v/>
      </c>
      <c r="U804" s="48" t="str">
        <f t="shared" si="201"/>
        <v/>
      </c>
      <c r="W804" s="56">
        <f t="shared" si="192"/>
        <v>0</v>
      </c>
      <c r="X804" s="57" t="str">
        <f t="shared" si="193"/>
        <v/>
      </c>
      <c r="Y804" s="58">
        <f t="shared" si="194"/>
        <v>0</v>
      </c>
      <c r="AA804" s="62" t="str">
        <f t="shared" si="205"/>
        <v/>
      </c>
    </row>
    <row r="805" spans="3:27">
      <c r="C805" s="82"/>
      <c r="E805" s="30" t="str">
        <f t="shared" si="202"/>
        <v>00:00:00</v>
      </c>
      <c r="F805" s="36" t="str">
        <f t="shared" si="195"/>
        <v/>
      </c>
      <c r="G805" s="36">
        <f t="shared" si="196"/>
        <v>0</v>
      </c>
      <c r="H805" s="3" t="str">
        <f t="shared" si="197"/>
        <v/>
      </c>
      <c r="I805" s="3">
        <f t="shared" si="198"/>
        <v>0</v>
      </c>
      <c r="L805" s="35">
        <f t="shared" si="206"/>
        <v>1</v>
      </c>
      <c r="O805" s="27">
        <f t="shared" si="199"/>
        <v>0</v>
      </c>
      <c r="P805" s="3">
        <v>803</v>
      </c>
      <c r="Q805" s="3" t="e">
        <f t="shared" si="203"/>
        <v>#N/A</v>
      </c>
      <c r="R805" s="3" t="e">
        <f t="shared" si="204"/>
        <v>#N/A</v>
      </c>
      <c r="T805" s="46" t="str">
        <f t="shared" si="200"/>
        <v/>
      </c>
      <c r="U805" s="48" t="str">
        <f t="shared" si="201"/>
        <v/>
      </c>
      <c r="W805" s="56">
        <f t="shared" si="192"/>
        <v>0</v>
      </c>
      <c r="X805" s="57" t="str">
        <f t="shared" si="193"/>
        <v/>
      </c>
      <c r="Y805" s="58">
        <f t="shared" si="194"/>
        <v>0</v>
      </c>
      <c r="AA805" s="62" t="str">
        <f t="shared" si="205"/>
        <v/>
      </c>
    </row>
    <row r="806" spans="3:27">
      <c r="C806" s="82"/>
      <c r="E806" s="30" t="str">
        <f t="shared" si="202"/>
        <v>00:00:00</v>
      </c>
      <c r="F806" s="36" t="str">
        <f t="shared" si="195"/>
        <v/>
      </c>
      <c r="G806" s="36">
        <f t="shared" si="196"/>
        <v>0</v>
      </c>
      <c r="H806" s="3" t="str">
        <f t="shared" si="197"/>
        <v/>
      </c>
      <c r="I806" s="3">
        <f t="shared" si="198"/>
        <v>0</v>
      </c>
      <c r="L806" s="35">
        <f t="shared" si="206"/>
        <v>1</v>
      </c>
      <c r="O806" s="27">
        <f t="shared" si="199"/>
        <v>0</v>
      </c>
      <c r="P806" s="3">
        <v>804</v>
      </c>
      <c r="Q806" s="3" t="e">
        <f t="shared" si="203"/>
        <v>#N/A</v>
      </c>
      <c r="R806" s="3" t="e">
        <f t="shared" si="204"/>
        <v>#N/A</v>
      </c>
      <c r="T806" s="46" t="str">
        <f t="shared" si="200"/>
        <v/>
      </c>
      <c r="U806" s="48" t="str">
        <f t="shared" si="201"/>
        <v/>
      </c>
      <c r="W806" s="56">
        <f t="shared" si="192"/>
        <v>0</v>
      </c>
      <c r="X806" s="57" t="str">
        <f t="shared" si="193"/>
        <v/>
      </c>
      <c r="Y806" s="58">
        <f t="shared" si="194"/>
        <v>0</v>
      </c>
      <c r="AA806" s="62" t="str">
        <f t="shared" si="205"/>
        <v/>
      </c>
    </row>
    <row r="807" spans="3:27">
      <c r="C807" s="82"/>
      <c r="E807" s="30" t="str">
        <f t="shared" si="202"/>
        <v>00:00:00</v>
      </c>
      <c r="F807" s="36" t="str">
        <f t="shared" si="195"/>
        <v/>
      </c>
      <c r="G807" s="36">
        <f t="shared" si="196"/>
        <v>0</v>
      </c>
      <c r="H807" s="3" t="str">
        <f t="shared" si="197"/>
        <v/>
      </c>
      <c r="I807" s="3">
        <f t="shared" si="198"/>
        <v>0</v>
      </c>
      <c r="L807" s="35">
        <f t="shared" si="206"/>
        <v>1</v>
      </c>
      <c r="O807" s="27">
        <f t="shared" si="199"/>
        <v>0</v>
      </c>
      <c r="P807" s="3">
        <v>805</v>
      </c>
      <c r="Q807" s="3" t="e">
        <f t="shared" si="203"/>
        <v>#N/A</v>
      </c>
      <c r="R807" s="3" t="e">
        <f t="shared" si="204"/>
        <v>#N/A</v>
      </c>
      <c r="T807" s="46" t="str">
        <f t="shared" si="200"/>
        <v/>
      </c>
      <c r="U807" s="48" t="str">
        <f t="shared" si="201"/>
        <v/>
      </c>
      <c r="W807" s="56">
        <f t="shared" si="192"/>
        <v>0</v>
      </c>
      <c r="X807" s="57" t="str">
        <f t="shared" si="193"/>
        <v/>
      </c>
      <c r="Y807" s="58">
        <f t="shared" si="194"/>
        <v>0</v>
      </c>
      <c r="AA807" s="62" t="str">
        <f t="shared" si="205"/>
        <v/>
      </c>
    </row>
    <row r="808" spans="3:27">
      <c r="C808" s="82"/>
      <c r="E808" s="30" t="str">
        <f t="shared" si="202"/>
        <v>00:00:00</v>
      </c>
      <c r="F808" s="36" t="str">
        <f t="shared" si="195"/>
        <v/>
      </c>
      <c r="G808" s="36">
        <f t="shared" si="196"/>
        <v>0</v>
      </c>
      <c r="H808" s="3" t="str">
        <f t="shared" si="197"/>
        <v/>
      </c>
      <c r="I808" s="3">
        <f t="shared" si="198"/>
        <v>0</v>
      </c>
      <c r="L808" s="35">
        <f t="shared" si="206"/>
        <v>1</v>
      </c>
      <c r="O808" s="27">
        <f t="shared" si="199"/>
        <v>0</v>
      </c>
      <c r="P808" s="3">
        <v>806</v>
      </c>
      <c r="Q808" s="3" t="e">
        <f t="shared" si="203"/>
        <v>#N/A</v>
      </c>
      <c r="R808" s="3" t="e">
        <f t="shared" si="204"/>
        <v>#N/A</v>
      </c>
      <c r="T808" s="46" t="str">
        <f t="shared" si="200"/>
        <v/>
      </c>
      <c r="U808" s="48" t="str">
        <f t="shared" si="201"/>
        <v/>
      </c>
      <c r="W808" s="56">
        <f t="shared" si="192"/>
        <v>0</v>
      </c>
      <c r="X808" s="57" t="str">
        <f t="shared" si="193"/>
        <v/>
      </c>
      <c r="Y808" s="58">
        <f t="shared" si="194"/>
        <v>0</v>
      </c>
      <c r="AA808" s="62" t="str">
        <f t="shared" si="205"/>
        <v/>
      </c>
    </row>
    <row r="809" spans="3:27">
      <c r="C809" s="82"/>
      <c r="E809" s="30" t="str">
        <f t="shared" si="202"/>
        <v>00:00:00</v>
      </c>
      <c r="F809" s="36" t="str">
        <f t="shared" si="195"/>
        <v/>
      </c>
      <c r="G809" s="36">
        <f t="shared" si="196"/>
        <v>0</v>
      </c>
      <c r="H809" s="3" t="str">
        <f t="shared" si="197"/>
        <v/>
      </c>
      <c r="I809" s="3">
        <f t="shared" si="198"/>
        <v>0</v>
      </c>
      <c r="L809" s="35">
        <f t="shared" si="206"/>
        <v>1</v>
      </c>
      <c r="O809" s="27">
        <f t="shared" si="199"/>
        <v>0</v>
      </c>
      <c r="P809" s="3">
        <v>807</v>
      </c>
      <c r="Q809" s="3" t="e">
        <f t="shared" si="203"/>
        <v>#N/A</v>
      </c>
      <c r="R809" s="3" t="e">
        <f t="shared" si="204"/>
        <v>#N/A</v>
      </c>
      <c r="T809" s="46" t="str">
        <f t="shared" si="200"/>
        <v/>
      </c>
      <c r="U809" s="48" t="str">
        <f t="shared" si="201"/>
        <v/>
      </c>
      <c r="W809" s="56">
        <f t="shared" si="192"/>
        <v>0</v>
      </c>
      <c r="X809" s="57" t="str">
        <f t="shared" si="193"/>
        <v/>
      </c>
      <c r="Y809" s="58">
        <f t="shared" si="194"/>
        <v>0</v>
      </c>
      <c r="AA809" s="62" t="str">
        <f t="shared" si="205"/>
        <v/>
      </c>
    </row>
    <row r="810" spans="3:27">
      <c r="C810" s="82"/>
      <c r="E810" s="30" t="str">
        <f t="shared" si="202"/>
        <v>00:00:00</v>
      </c>
      <c r="F810" s="36" t="str">
        <f t="shared" si="195"/>
        <v/>
      </c>
      <c r="G810" s="36">
        <f t="shared" si="196"/>
        <v>0</v>
      </c>
      <c r="H810" s="3" t="str">
        <f t="shared" si="197"/>
        <v/>
      </c>
      <c r="I810" s="3">
        <f t="shared" si="198"/>
        <v>0</v>
      </c>
      <c r="L810" s="35">
        <f t="shared" si="206"/>
        <v>1</v>
      </c>
      <c r="O810" s="27">
        <f t="shared" si="199"/>
        <v>0</v>
      </c>
      <c r="P810" s="3">
        <v>808</v>
      </c>
      <c r="Q810" s="3" t="e">
        <f t="shared" si="203"/>
        <v>#N/A</v>
      </c>
      <c r="R810" s="3" t="e">
        <f t="shared" si="204"/>
        <v>#N/A</v>
      </c>
      <c r="T810" s="46" t="str">
        <f t="shared" si="200"/>
        <v/>
      </c>
      <c r="U810" s="48" t="str">
        <f t="shared" si="201"/>
        <v/>
      </c>
      <c r="W810" s="56">
        <f t="shared" si="192"/>
        <v>0</v>
      </c>
      <c r="X810" s="57" t="str">
        <f t="shared" si="193"/>
        <v/>
      </c>
      <c r="Y810" s="58">
        <f t="shared" si="194"/>
        <v>0</v>
      </c>
      <c r="AA810" s="62" t="str">
        <f t="shared" si="205"/>
        <v/>
      </c>
    </row>
    <row r="811" spans="3:27">
      <c r="C811" s="82"/>
      <c r="E811" s="30" t="str">
        <f t="shared" si="202"/>
        <v>00:00:00</v>
      </c>
      <c r="F811" s="36" t="str">
        <f t="shared" si="195"/>
        <v/>
      </c>
      <c r="G811" s="36">
        <f t="shared" si="196"/>
        <v>0</v>
      </c>
      <c r="H811" s="3" t="str">
        <f t="shared" si="197"/>
        <v/>
      </c>
      <c r="I811" s="3">
        <f t="shared" si="198"/>
        <v>0</v>
      </c>
      <c r="L811" s="35">
        <f t="shared" si="206"/>
        <v>1</v>
      </c>
      <c r="O811" s="27">
        <f t="shared" si="199"/>
        <v>0</v>
      </c>
      <c r="P811" s="3">
        <v>809</v>
      </c>
      <c r="Q811" s="3" t="e">
        <f t="shared" si="203"/>
        <v>#N/A</v>
      </c>
      <c r="R811" s="3" t="e">
        <f t="shared" si="204"/>
        <v>#N/A</v>
      </c>
      <c r="T811" s="46" t="str">
        <f t="shared" si="200"/>
        <v/>
      </c>
      <c r="U811" s="48" t="str">
        <f t="shared" si="201"/>
        <v/>
      </c>
      <c r="W811" s="56">
        <f t="shared" si="192"/>
        <v>0</v>
      </c>
      <c r="X811" s="57" t="str">
        <f t="shared" si="193"/>
        <v/>
      </c>
      <c r="Y811" s="58">
        <f t="shared" si="194"/>
        <v>0</v>
      </c>
      <c r="AA811" s="62" t="str">
        <f t="shared" si="205"/>
        <v/>
      </c>
    </row>
    <row r="812" spans="3:27">
      <c r="C812" s="82"/>
      <c r="E812" s="30" t="str">
        <f t="shared" si="202"/>
        <v>00:00:00</v>
      </c>
      <c r="F812" s="36" t="str">
        <f t="shared" si="195"/>
        <v/>
      </c>
      <c r="G812" s="36">
        <f t="shared" si="196"/>
        <v>0</v>
      </c>
      <c r="H812" s="3" t="str">
        <f t="shared" si="197"/>
        <v/>
      </c>
      <c r="I812" s="3">
        <f t="shared" si="198"/>
        <v>0</v>
      </c>
      <c r="L812" s="35">
        <f t="shared" si="206"/>
        <v>1</v>
      </c>
      <c r="O812" s="27">
        <f t="shared" si="199"/>
        <v>0</v>
      </c>
      <c r="P812" s="3">
        <v>810</v>
      </c>
      <c r="Q812" s="3" t="e">
        <f t="shared" si="203"/>
        <v>#N/A</v>
      </c>
      <c r="R812" s="3" t="e">
        <f t="shared" si="204"/>
        <v>#N/A</v>
      </c>
      <c r="T812" s="46" t="str">
        <f t="shared" si="200"/>
        <v/>
      </c>
      <c r="U812" s="48" t="str">
        <f t="shared" si="201"/>
        <v/>
      </c>
      <c r="W812" s="56">
        <f t="shared" si="192"/>
        <v>0</v>
      </c>
      <c r="X812" s="57" t="str">
        <f t="shared" si="193"/>
        <v/>
      </c>
      <c r="Y812" s="58">
        <f t="shared" si="194"/>
        <v>0</v>
      </c>
      <c r="AA812" s="62" t="str">
        <f t="shared" si="205"/>
        <v/>
      </c>
    </row>
    <row r="813" spans="3:27">
      <c r="C813" s="82"/>
      <c r="E813" s="30" t="str">
        <f t="shared" si="202"/>
        <v>00:00:00</v>
      </c>
      <c r="F813" s="36" t="str">
        <f t="shared" si="195"/>
        <v/>
      </c>
      <c r="G813" s="36">
        <f t="shared" si="196"/>
        <v>0</v>
      </c>
      <c r="H813" s="3" t="str">
        <f t="shared" si="197"/>
        <v/>
      </c>
      <c r="I813" s="3">
        <f t="shared" si="198"/>
        <v>0</v>
      </c>
      <c r="L813" s="35">
        <f t="shared" si="206"/>
        <v>1</v>
      </c>
      <c r="O813" s="27">
        <f t="shared" si="199"/>
        <v>0</v>
      </c>
      <c r="P813" s="3">
        <v>811</v>
      </c>
      <c r="Q813" s="3" t="e">
        <f t="shared" si="203"/>
        <v>#N/A</v>
      </c>
      <c r="R813" s="3" t="e">
        <f t="shared" si="204"/>
        <v>#N/A</v>
      </c>
      <c r="T813" s="46" t="str">
        <f t="shared" si="200"/>
        <v/>
      </c>
      <c r="U813" s="48" t="str">
        <f t="shared" si="201"/>
        <v/>
      </c>
      <c r="W813" s="56">
        <f t="shared" si="192"/>
        <v>0</v>
      </c>
      <c r="X813" s="57" t="str">
        <f t="shared" si="193"/>
        <v/>
      </c>
      <c r="Y813" s="58">
        <f t="shared" si="194"/>
        <v>0</v>
      </c>
      <c r="AA813" s="62" t="str">
        <f t="shared" si="205"/>
        <v/>
      </c>
    </row>
    <row r="814" spans="3:27">
      <c r="C814" s="82"/>
      <c r="E814" s="30" t="str">
        <f t="shared" si="202"/>
        <v>00:00:00</v>
      </c>
      <c r="F814" s="36" t="str">
        <f t="shared" si="195"/>
        <v/>
      </c>
      <c r="G814" s="36">
        <f t="shared" si="196"/>
        <v>0</v>
      </c>
      <c r="H814" s="3" t="str">
        <f t="shared" si="197"/>
        <v/>
      </c>
      <c r="I814" s="3">
        <f t="shared" si="198"/>
        <v>0</v>
      </c>
      <c r="L814" s="35">
        <f t="shared" si="206"/>
        <v>1</v>
      </c>
      <c r="O814" s="27">
        <f t="shared" si="199"/>
        <v>0</v>
      </c>
      <c r="P814" s="3">
        <v>812</v>
      </c>
      <c r="Q814" s="3" t="e">
        <f t="shared" si="203"/>
        <v>#N/A</v>
      </c>
      <c r="R814" s="3" t="e">
        <f t="shared" si="204"/>
        <v>#N/A</v>
      </c>
      <c r="T814" s="46" t="str">
        <f t="shared" si="200"/>
        <v/>
      </c>
      <c r="U814" s="48" t="str">
        <f t="shared" si="201"/>
        <v/>
      </c>
      <c r="W814" s="56">
        <f t="shared" si="192"/>
        <v>0</v>
      </c>
      <c r="X814" s="57" t="str">
        <f t="shared" si="193"/>
        <v/>
      </c>
      <c r="Y814" s="58">
        <f t="shared" si="194"/>
        <v>0</v>
      </c>
      <c r="AA814" s="62" t="str">
        <f t="shared" si="205"/>
        <v/>
      </c>
    </row>
    <row r="815" spans="3:27">
      <c r="C815" s="82"/>
      <c r="E815" s="30" t="str">
        <f t="shared" si="202"/>
        <v>00:00:00</v>
      </c>
      <c r="F815" s="36" t="str">
        <f t="shared" si="195"/>
        <v/>
      </c>
      <c r="G815" s="36">
        <f t="shared" si="196"/>
        <v>0</v>
      </c>
      <c r="H815" s="3" t="str">
        <f t="shared" si="197"/>
        <v/>
      </c>
      <c r="I815" s="3">
        <f t="shared" si="198"/>
        <v>0</v>
      </c>
      <c r="L815" s="35">
        <f t="shared" si="206"/>
        <v>1</v>
      </c>
      <c r="O815" s="27">
        <f t="shared" si="199"/>
        <v>0</v>
      </c>
      <c r="P815" s="3">
        <v>813</v>
      </c>
      <c r="Q815" s="3" t="e">
        <f t="shared" si="203"/>
        <v>#N/A</v>
      </c>
      <c r="R815" s="3" t="e">
        <f t="shared" si="204"/>
        <v>#N/A</v>
      </c>
      <c r="T815" s="46" t="str">
        <f t="shared" si="200"/>
        <v/>
      </c>
      <c r="U815" s="48" t="str">
        <f t="shared" si="201"/>
        <v/>
      </c>
      <c r="W815" s="56">
        <f t="shared" si="192"/>
        <v>0</v>
      </c>
      <c r="X815" s="57" t="str">
        <f t="shared" si="193"/>
        <v/>
      </c>
      <c r="Y815" s="58">
        <f t="shared" si="194"/>
        <v>0</v>
      </c>
      <c r="AA815" s="62" t="str">
        <f t="shared" si="205"/>
        <v/>
      </c>
    </row>
    <row r="816" spans="3:27">
      <c r="C816" s="82"/>
      <c r="E816" s="30" t="str">
        <f t="shared" si="202"/>
        <v>00:00:00</v>
      </c>
      <c r="F816" s="36" t="str">
        <f t="shared" si="195"/>
        <v/>
      </c>
      <c r="G816" s="36">
        <f t="shared" si="196"/>
        <v>0</v>
      </c>
      <c r="H816" s="3" t="str">
        <f t="shared" si="197"/>
        <v/>
      </c>
      <c r="I816" s="3">
        <f t="shared" si="198"/>
        <v>0</v>
      </c>
      <c r="L816" s="35">
        <f t="shared" si="206"/>
        <v>1</v>
      </c>
      <c r="O816" s="27">
        <f t="shared" si="199"/>
        <v>0</v>
      </c>
      <c r="P816" s="3">
        <v>814</v>
      </c>
      <c r="Q816" s="3" t="e">
        <f t="shared" si="203"/>
        <v>#N/A</v>
      </c>
      <c r="R816" s="3" t="e">
        <f t="shared" si="204"/>
        <v>#N/A</v>
      </c>
      <c r="T816" s="46" t="str">
        <f t="shared" si="200"/>
        <v/>
      </c>
      <c r="U816" s="48" t="str">
        <f t="shared" si="201"/>
        <v/>
      </c>
      <c r="W816" s="56">
        <f t="shared" si="192"/>
        <v>0</v>
      </c>
      <c r="X816" s="57" t="str">
        <f t="shared" si="193"/>
        <v/>
      </c>
      <c r="Y816" s="58">
        <f t="shared" si="194"/>
        <v>0</v>
      </c>
      <c r="AA816" s="62" t="str">
        <f t="shared" si="205"/>
        <v/>
      </c>
    </row>
    <row r="817" spans="3:27">
      <c r="C817" s="82"/>
      <c r="E817" s="30" t="str">
        <f t="shared" si="202"/>
        <v>00:00:00</v>
      </c>
      <c r="F817" s="36" t="str">
        <f t="shared" si="195"/>
        <v/>
      </c>
      <c r="G817" s="36">
        <f t="shared" si="196"/>
        <v>0</v>
      </c>
      <c r="H817" s="3" t="str">
        <f t="shared" si="197"/>
        <v/>
      </c>
      <c r="I817" s="3">
        <f t="shared" si="198"/>
        <v>0</v>
      </c>
      <c r="L817" s="35">
        <f t="shared" si="206"/>
        <v>1</v>
      </c>
      <c r="O817" s="27">
        <f t="shared" si="199"/>
        <v>0</v>
      </c>
      <c r="P817" s="3">
        <v>815</v>
      </c>
      <c r="Q817" s="3" t="e">
        <f t="shared" si="203"/>
        <v>#N/A</v>
      </c>
      <c r="R817" s="3" t="e">
        <f t="shared" si="204"/>
        <v>#N/A</v>
      </c>
      <c r="T817" s="46" t="str">
        <f t="shared" si="200"/>
        <v/>
      </c>
      <c r="U817" s="48" t="str">
        <f t="shared" si="201"/>
        <v/>
      </c>
      <c r="W817" s="56">
        <f t="shared" si="192"/>
        <v>0</v>
      </c>
      <c r="X817" s="57" t="str">
        <f t="shared" si="193"/>
        <v/>
      </c>
      <c r="Y817" s="58">
        <f t="shared" si="194"/>
        <v>0</v>
      </c>
      <c r="AA817" s="62" t="str">
        <f t="shared" si="205"/>
        <v/>
      </c>
    </row>
    <row r="818" spans="3:27">
      <c r="C818" s="82"/>
      <c r="E818" s="30" t="str">
        <f t="shared" si="202"/>
        <v>00:00:00</v>
      </c>
      <c r="F818" s="36" t="str">
        <f t="shared" si="195"/>
        <v/>
      </c>
      <c r="G818" s="36">
        <f t="shared" si="196"/>
        <v>0</v>
      </c>
      <c r="H818" s="3" t="str">
        <f t="shared" si="197"/>
        <v/>
      </c>
      <c r="I818" s="3">
        <f t="shared" si="198"/>
        <v>0</v>
      </c>
      <c r="L818" s="35">
        <f t="shared" si="206"/>
        <v>1</v>
      </c>
      <c r="O818" s="27">
        <f t="shared" si="199"/>
        <v>0</v>
      </c>
      <c r="P818" s="3">
        <v>816</v>
      </c>
      <c r="Q818" s="3" t="e">
        <f t="shared" si="203"/>
        <v>#N/A</v>
      </c>
      <c r="R818" s="3" t="e">
        <f t="shared" si="204"/>
        <v>#N/A</v>
      </c>
      <c r="T818" s="46" t="str">
        <f t="shared" si="200"/>
        <v/>
      </c>
      <c r="U818" s="48" t="str">
        <f t="shared" si="201"/>
        <v/>
      </c>
      <c r="W818" s="56">
        <f t="shared" si="192"/>
        <v>0</v>
      </c>
      <c r="X818" s="57" t="str">
        <f t="shared" si="193"/>
        <v/>
      </c>
      <c r="Y818" s="58">
        <f t="shared" si="194"/>
        <v>0</v>
      </c>
      <c r="AA818" s="62" t="str">
        <f t="shared" si="205"/>
        <v/>
      </c>
    </row>
    <row r="819" spans="3:27">
      <c r="C819" s="82"/>
      <c r="E819" s="30" t="str">
        <f t="shared" si="202"/>
        <v>00:00:00</v>
      </c>
      <c r="F819" s="36" t="str">
        <f t="shared" si="195"/>
        <v/>
      </c>
      <c r="G819" s="36">
        <f t="shared" si="196"/>
        <v>0</v>
      </c>
      <c r="H819" s="3" t="str">
        <f t="shared" si="197"/>
        <v/>
      </c>
      <c r="I819" s="3">
        <f t="shared" si="198"/>
        <v>0</v>
      </c>
      <c r="L819" s="35">
        <f t="shared" si="206"/>
        <v>1</v>
      </c>
      <c r="O819" s="27">
        <f t="shared" si="199"/>
        <v>0</v>
      </c>
      <c r="P819" s="3">
        <v>817</v>
      </c>
      <c r="Q819" s="3" t="e">
        <f t="shared" si="203"/>
        <v>#N/A</v>
      </c>
      <c r="R819" s="3" t="e">
        <f t="shared" si="204"/>
        <v>#N/A</v>
      </c>
      <c r="T819" s="46" t="str">
        <f t="shared" si="200"/>
        <v/>
      </c>
      <c r="U819" s="48" t="str">
        <f t="shared" si="201"/>
        <v/>
      </c>
      <c r="W819" s="56">
        <f t="shared" si="192"/>
        <v>0</v>
      </c>
      <c r="X819" s="57" t="str">
        <f t="shared" si="193"/>
        <v/>
      </c>
      <c r="Y819" s="58">
        <f t="shared" si="194"/>
        <v>0</v>
      </c>
      <c r="AA819" s="62" t="str">
        <f t="shared" si="205"/>
        <v/>
      </c>
    </row>
    <row r="820" spans="3:27">
      <c r="C820" s="82"/>
      <c r="E820" s="30" t="str">
        <f t="shared" si="202"/>
        <v>00:00:00</v>
      </c>
      <c r="F820" s="36" t="str">
        <f t="shared" si="195"/>
        <v/>
      </c>
      <c r="G820" s="36">
        <f t="shared" si="196"/>
        <v>0</v>
      </c>
      <c r="H820" s="3" t="str">
        <f t="shared" si="197"/>
        <v/>
      </c>
      <c r="I820" s="3">
        <f t="shared" si="198"/>
        <v>0</v>
      </c>
      <c r="L820" s="35">
        <f t="shared" si="206"/>
        <v>1</v>
      </c>
      <c r="O820" s="27">
        <f t="shared" si="199"/>
        <v>0</v>
      </c>
      <c r="P820" s="3">
        <v>818</v>
      </c>
      <c r="Q820" s="3" t="e">
        <f t="shared" si="203"/>
        <v>#N/A</v>
      </c>
      <c r="R820" s="3" t="e">
        <f t="shared" si="204"/>
        <v>#N/A</v>
      </c>
      <c r="T820" s="46" t="str">
        <f t="shared" si="200"/>
        <v/>
      </c>
      <c r="U820" s="48" t="str">
        <f t="shared" si="201"/>
        <v/>
      </c>
      <c r="W820" s="56">
        <f t="shared" si="192"/>
        <v>0</v>
      </c>
      <c r="X820" s="57" t="str">
        <f t="shared" si="193"/>
        <v/>
      </c>
      <c r="Y820" s="58">
        <f t="shared" si="194"/>
        <v>0</v>
      </c>
      <c r="AA820" s="62" t="str">
        <f t="shared" si="205"/>
        <v/>
      </c>
    </row>
    <row r="821" spans="3:27">
      <c r="C821" s="82"/>
      <c r="E821" s="30" t="str">
        <f t="shared" si="202"/>
        <v>00:00:00</v>
      </c>
      <c r="F821" s="36" t="str">
        <f t="shared" si="195"/>
        <v/>
      </c>
      <c r="G821" s="36">
        <f t="shared" si="196"/>
        <v>0</v>
      </c>
      <c r="H821" s="3" t="str">
        <f t="shared" si="197"/>
        <v/>
      </c>
      <c r="I821" s="3">
        <f t="shared" si="198"/>
        <v>0</v>
      </c>
      <c r="L821" s="35">
        <f t="shared" si="206"/>
        <v>1</v>
      </c>
      <c r="O821" s="27">
        <f t="shared" si="199"/>
        <v>0</v>
      </c>
      <c r="P821" s="3">
        <v>819</v>
      </c>
      <c r="Q821" s="3" t="e">
        <f t="shared" si="203"/>
        <v>#N/A</v>
      </c>
      <c r="R821" s="3" t="e">
        <f t="shared" si="204"/>
        <v>#N/A</v>
      </c>
      <c r="T821" s="46" t="str">
        <f t="shared" si="200"/>
        <v/>
      </c>
      <c r="U821" s="48" t="str">
        <f t="shared" si="201"/>
        <v/>
      </c>
      <c r="W821" s="56">
        <f t="shared" si="192"/>
        <v>0</v>
      </c>
      <c r="X821" s="57" t="str">
        <f t="shared" si="193"/>
        <v/>
      </c>
      <c r="Y821" s="58">
        <f t="shared" si="194"/>
        <v>0</v>
      </c>
      <c r="AA821" s="62" t="str">
        <f t="shared" si="205"/>
        <v/>
      </c>
    </row>
    <row r="822" spans="3:27">
      <c r="C822" s="82"/>
      <c r="E822" s="30" t="str">
        <f t="shared" si="202"/>
        <v>00:00:00</v>
      </c>
      <c r="F822" s="36" t="str">
        <f t="shared" si="195"/>
        <v/>
      </c>
      <c r="G822" s="36">
        <f t="shared" si="196"/>
        <v>0</v>
      </c>
      <c r="H822" s="3" t="str">
        <f t="shared" si="197"/>
        <v/>
      </c>
      <c r="I822" s="3">
        <f t="shared" si="198"/>
        <v>0</v>
      </c>
      <c r="L822" s="35">
        <f t="shared" si="206"/>
        <v>1</v>
      </c>
      <c r="O822" s="27">
        <f t="shared" si="199"/>
        <v>0</v>
      </c>
      <c r="P822" s="3">
        <v>820</v>
      </c>
      <c r="Q822" s="3" t="e">
        <f t="shared" si="203"/>
        <v>#N/A</v>
      </c>
      <c r="R822" s="3" t="e">
        <f t="shared" si="204"/>
        <v>#N/A</v>
      </c>
      <c r="T822" s="46" t="str">
        <f t="shared" si="200"/>
        <v/>
      </c>
      <c r="U822" s="48" t="str">
        <f t="shared" si="201"/>
        <v/>
      </c>
      <c r="W822" s="56">
        <f t="shared" si="192"/>
        <v>0</v>
      </c>
      <c r="X822" s="57" t="str">
        <f t="shared" si="193"/>
        <v/>
      </c>
      <c r="Y822" s="58">
        <f t="shared" si="194"/>
        <v>0</v>
      </c>
      <c r="AA822" s="62" t="str">
        <f t="shared" si="205"/>
        <v/>
      </c>
    </row>
    <row r="823" spans="3:27">
      <c r="C823" s="82"/>
      <c r="E823" s="30" t="str">
        <f t="shared" si="202"/>
        <v>00:00:00</v>
      </c>
      <c r="F823" s="36" t="str">
        <f t="shared" si="195"/>
        <v/>
      </c>
      <c r="G823" s="36">
        <f t="shared" si="196"/>
        <v>0</v>
      </c>
      <c r="H823" s="3" t="str">
        <f t="shared" si="197"/>
        <v/>
      </c>
      <c r="I823" s="3">
        <f t="shared" si="198"/>
        <v>0</v>
      </c>
      <c r="L823" s="35">
        <f t="shared" si="206"/>
        <v>1</v>
      </c>
      <c r="O823" s="27">
        <f t="shared" si="199"/>
        <v>0</v>
      </c>
      <c r="P823" s="3">
        <v>821</v>
      </c>
      <c r="Q823" s="3" t="e">
        <f t="shared" si="203"/>
        <v>#N/A</v>
      </c>
      <c r="R823" s="3" t="e">
        <f t="shared" si="204"/>
        <v>#N/A</v>
      </c>
      <c r="T823" s="46" t="str">
        <f t="shared" si="200"/>
        <v/>
      </c>
      <c r="U823" s="48" t="str">
        <f t="shared" si="201"/>
        <v/>
      </c>
      <c r="W823" s="56">
        <f t="shared" si="192"/>
        <v>0</v>
      </c>
      <c r="X823" s="57" t="str">
        <f t="shared" si="193"/>
        <v/>
      </c>
      <c r="Y823" s="58">
        <f t="shared" si="194"/>
        <v>0</v>
      </c>
      <c r="AA823" s="62" t="str">
        <f t="shared" si="205"/>
        <v/>
      </c>
    </row>
    <row r="824" spans="3:27">
      <c r="C824" s="82"/>
      <c r="E824" s="30" t="str">
        <f t="shared" si="202"/>
        <v>00:00:00</v>
      </c>
      <c r="F824" s="36" t="str">
        <f t="shared" si="195"/>
        <v/>
      </c>
      <c r="G824" s="36">
        <f t="shared" si="196"/>
        <v>0</v>
      </c>
      <c r="H824" s="3" t="str">
        <f t="shared" si="197"/>
        <v/>
      </c>
      <c r="I824" s="3">
        <f t="shared" si="198"/>
        <v>0</v>
      </c>
      <c r="L824" s="35">
        <f t="shared" si="206"/>
        <v>1</v>
      </c>
      <c r="O824" s="27">
        <f t="shared" si="199"/>
        <v>0</v>
      </c>
      <c r="P824" s="3">
        <v>822</v>
      </c>
      <c r="Q824" s="3" t="e">
        <f t="shared" si="203"/>
        <v>#N/A</v>
      </c>
      <c r="R824" s="3" t="e">
        <f t="shared" si="204"/>
        <v>#N/A</v>
      </c>
      <c r="T824" s="46" t="str">
        <f t="shared" si="200"/>
        <v/>
      </c>
      <c r="U824" s="48" t="str">
        <f t="shared" si="201"/>
        <v/>
      </c>
      <c r="W824" s="56">
        <f t="shared" si="192"/>
        <v>0</v>
      </c>
      <c r="X824" s="57" t="str">
        <f t="shared" si="193"/>
        <v/>
      </c>
      <c r="Y824" s="58">
        <f t="shared" si="194"/>
        <v>0</v>
      </c>
      <c r="AA824" s="62" t="str">
        <f t="shared" si="205"/>
        <v/>
      </c>
    </row>
    <row r="825" spans="3:27">
      <c r="C825" s="82"/>
      <c r="E825" s="30" t="str">
        <f t="shared" si="202"/>
        <v>00:00:00</v>
      </c>
      <c r="F825" s="36" t="str">
        <f t="shared" si="195"/>
        <v/>
      </c>
      <c r="G825" s="36">
        <f t="shared" si="196"/>
        <v>0</v>
      </c>
      <c r="H825" s="3" t="str">
        <f t="shared" si="197"/>
        <v/>
      </c>
      <c r="I825" s="3">
        <f t="shared" si="198"/>
        <v>0</v>
      </c>
      <c r="L825" s="35">
        <f t="shared" si="206"/>
        <v>1</v>
      </c>
      <c r="O825" s="27">
        <f t="shared" si="199"/>
        <v>0</v>
      </c>
      <c r="P825" s="3">
        <v>823</v>
      </c>
      <c r="Q825" s="3" t="e">
        <f t="shared" si="203"/>
        <v>#N/A</v>
      </c>
      <c r="R825" s="3" t="e">
        <f t="shared" si="204"/>
        <v>#N/A</v>
      </c>
      <c r="T825" s="46" t="str">
        <f t="shared" si="200"/>
        <v/>
      </c>
      <c r="U825" s="48" t="str">
        <f t="shared" si="201"/>
        <v/>
      </c>
      <c r="W825" s="56">
        <f t="shared" si="192"/>
        <v>0</v>
      </c>
      <c r="X825" s="57" t="str">
        <f t="shared" si="193"/>
        <v/>
      </c>
      <c r="Y825" s="58">
        <f t="shared" si="194"/>
        <v>0</v>
      </c>
      <c r="AA825" s="62" t="str">
        <f t="shared" si="205"/>
        <v/>
      </c>
    </row>
    <row r="826" spans="3:27">
      <c r="C826" s="82"/>
      <c r="E826" s="30" t="str">
        <f t="shared" si="202"/>
        <v>00:00:00</v>
      </c>
      <c r="F826" s="36" t="str">
        <f t="shared" si="195"/>
        <v/>
      </c>
      <c r="G826" s="36">
        <f t="shared" si="196"/>
        <v>0</v>
      </c>
      <c r="H826" s="3" t="str">
        <f t="shared" si="197"/>
        <v/>
      </c>
      <c r="I826" s="3">
        <f t="shared" si="198"/>
        <v>0</v>
      </c>
      <c r="L826" s="35">
        <f t="shared" si="206"/>
        <v>1</v>
      </c>
      <c r="O826" s="27">
        <f t="shared" si="199"/>
        <v>0</v>
      </c>
      <c r="P826" s="3">
        <v>824</v>
      </c>
      <c r="Q826" s="3" t="e">
        <f t="shared" si="203"/>
        <v>#N/A</v>
      </c>
      <c r="R826" s="3" t="e">
        <f t="shared" si="204"/>
        <v>#N/A</v>
      </c>
      <c r="T826" s="46" t="str">
        <f t="shared" si="200"/>
        <v/>
      </c>
      <c r="U826" s="48" t="str">
        <f t="shared" si="201"/>
        <v/>
      </c>
      <c r="W826" s="56">
        <f t="shared" si="192"/>
        <v>0</v>
      </c>
      <c r="X826" s="57" t="str">
        <f t="shared" si="193"/>
        <v/>
      </c>
      <c r="Y826" s="58">
        <f t="shared" si="194"/>
        <v>0</v>
      </c>
      <c r="AA826" s="62" t="str">
        <f t="shared" si="205"/>
        <v/>
      </c>
    </row>
    <row r="827" spans="3:27">
      <c r="C827" s="82"/>
      <c r="E827" s="30" t="str">
        <f t="shared" si="202"/>
        <v>00:00:00</v>
      </c>
      <c r="F827" s="36" t="str">
        <f t="shared" si="195"/>
        <v/>
      </c>
      <c r="G827" s="36">
        <f t="shared" si="196"/>
        <v>0</v>
      </c>
      <c r="H827" s="3" t="str">
        <f t="shared" si="197"/>
        <v/>
      </c>
      <c r="I827" s="3">
        <f t="shared" si="198"/>
        <v>0</v>
      </c>
      <c r="L827" s="35">
        <f t="shared" si="206"/>
        <v>1</v>
      </c>
      <c r="O827" s="27">
        <f t="shared" si="199"/>
        <v>0</v>
      </c>
      <c r="P827" s="3">
        <v>825</v>
      </c>
      <c r="Q827" s="3" t="e">
        <f t="shared" si="203"/>
        <v>#N/A</v>
      </c>
      <c r="R827" s="3" t="e">
        <f t="shared" si="204"/>
        <v>#N/A</v>
      </c>
      <c r="T827" s="46" t="str">
        <f t="shared" si="200"/>
        <v/>
      </c>
      <c r="U827" s="48" t="str">
        <f t="shared" si="201"/>
        <v/>
      </c>
      <c r="W827" s="56">
        <f t="shared" si="192"/>
        <v>0</v>
      </c>
      <c r="X827" s="57" t="str">
        <f t="shared" si="193"/>
        <v/>
      </c>
      <c r="Y827" s="58">
        <f t="shared" si="194"/>
        <v>0</v>
      </c>
      <c r="AA827" s="62" t="str">
        <f t="shared" si="205"/>
        <v/>
      </c>
    </row>
    <row r="828" spans="3:27">
      <c r="C828" s="82"/>
      <c r="E828" s="30" t="str">
        <f t="shared" si="202"/>
        <v>00:00:00</v>
      </c>
      <c r="F828" s="36" t="str">
        <f t="shared" si="195"/>
        <v/>
      </c>
      <c r="G828" s="36">
        <f t="shared" si="196"/>
        <v>0</v>
      </c>
      <c r="H828" s="3" t="str">
        <f t="shared" si="197"/>
        <v/>
      </c>
      <c r="I828" s="3">
        <f t="shared" si="198"/>
        <v>0</v>
      </c>
      <c r="L828" s="35">
        <f t="shared" si="206"/>
        <v>1</v>
      </c>
      <c r="O828" s="27">
        <f t="shared" si="199"/>
        <v>0</v>
      </c>
      <c r="P828" s="3">
        <v>826</v>
      </c>
      <c r="Q828" s="3" t="e">
        <f t="shared" si="203"/>
        <v>#N/A</v>
      </c>
      <c r="R828" s="3" t="e">
        <f t="shared" si="204"/>
        <v>#N/A</v>
      </c>
      <c r="T828" s="46" t="str">
        <f t="shared" si="200"/>
        <v/>
      </c>
      <c r="U828" s="48" t="str">
        <f t="shared" si="201"/>
        <v/>
      </c>
      <c r="W828" s="56">
        <f t="shared" si="192"/>
        <v>0</v>
      </c>
      <c r="X828" s="57" t="str">
        <f t="shared" si="193"/>
        <v/>
      </c>
      <c r="Y828" s="58">
        <f t="shared" si="194"/>
        <v>0</v>
      </c>
      <c r="AA828" s="62" t="str">
        <f t="shared" si="205"/>
        <v/>
      </c>
    </row>
    <row r="829" spans="3:27">
      <c r="C829" s="82"/>
      <c r="E829" s="30" t="str">
        <f t="shared" si="202"/>
        <v>00:00:00</v>
      </c>
      <c r="F829" s="36" t="str">
        <f t="shared" si="195"/>
        <v/>
      </c>
      <c r="G829" s="36">
        <f t="shared" si="196"/>
        <v>0</v>
      </c>
      <c r="H829" s="3" t="str">
        <f t="shared" si="197"/>
        <v/>
      </c>
      <c r="I829" s="3">
        <f t="shared" si="198"/>
        <v>0</v>
      </c>
      <c r="L829" s="35">
        <f t="shared" si="206"/>
        <v>1</v>
      </c>
      <c r="O829" s="27">
        <f t="shared" si="199"/>
        <v>0</v>
      </c>
      <c r="P829" s="3">
        <v>827</v>
      </c>
      <c r="Q829" s="3" t="e">
        <f t="shared" si="203"/>
        <v>#N/A</v>
      </c>
      <c r="R829" s="3" t="e">
        <f t="shared" si="204"/>
        <v>#N/A</v>
      </c>
      <c r="T829" s="46" t="str">
        <f t="shared" si="200"/>
        <v/>
      </c>
      <c r="U829" s="48" t="str">
        <f t="shared" si="201"/>
        <v/>
      </c>
      <c r="W829" s="56">
        <f t="shared" si="192"/>
        <v>0</v>
      </c>
      <c r="X829" s="57" t="str">
        <f t="shared" si="193"/>
        <v/>
      </c>
      <c r="Y829" s="58">
        <f t="shared" si="194"/>
        <v>0</v>
      </c>
      <c r="AA829" s="62" t="str">
        <f t="shared" si="205"/>
        <v/>
      </c>
    </row>
    <row r="830" spans="3:27">
      <c r="C830" s="82"/>
      <c r="E830" s="30" t="str">
        <f t="shared" si="202"/>
        <v>00:00:00</v>
      </c>
      <c r="F830" s="36" t="str">
        <f t="shared" si="195"/>
        <v/>
      </c>
      <c r="G830" s="36">
        <f t="shared" si="196"/>
        <v>0</v>
      </c>
      <c r="H830" s="3" t="str">
        <f t="shared" si="197"/>
        <v/>
      </c>
      <c r="I830" s="3">
        <f t="shared" si="198"/>
        <v>0</v>
      </c>
      <c r="L830" s="35">
        <f t="shared" si="206"/>
        <v>1</v>
      </c>
      <c r="O830" s="27">
        <f t="shared" si="199"/>
        <v>0</v>
      </c>
      <c r="P830" s="3">
        <v>828</v>
      </c>
      <c r="Q830" s="3" t="e">
        <f t="shared" si="203"/>
        <v>#N/A</v>
      </c>
      <c r="R830" s="3" t="e">
        <f t="shared" si="204"/>
        <v>#N/A</v>
      </c>
      <c r="T830" s="46" t="str">
        <f t="shared" si="200"/>
        <v/>
      </c>
      <c r="U830" s="48" t="str">
        <f t="shared" si="201"/>
        <v/>
      </c>
      <c r="W830" s="56">
        <f t="shared" si="192"/>
        <v>0</v>
      </c>
      <c r="X830" s="57" t="str">
        <f t="shared" si="193"/>
        <v/>
      </c>
      <c r="Y830" s="58">
        <f t="shared" si="194"/>
        <v>0</v>
      </c>
      <c r="AA830" s="62" t="str">
        <f t="shared" si="205"/>
        <v/>
      </c>
    </row>
    <row r="831" spans="3:27">
      <c r="C831" s="82"/>
      <c r="E831" s="30" t="str">
        <f t="shared" si="202"/>
        <v>00:00:00</v>
      </c>
      <c r="F831" s="36" t="str">
        <f t="shared" si="195"/>
        <v/>
      </c>
      <c r="G831" s="36">
        <f t="shared" si="196"/>
        <v>0</v>
      </c>
      <c r="H831" s="3" t="str">
        <f t="shared" si="197"/>
        <v/>
      </c>
      <c r="I831" s="3">
        <f t="shared" si="198"/>
        <v>0</v>
      </c>
      <c r="L831" s="35">
        <f t="shared" si="206"/>
        <v>1</v>
      </c>
      <c r="O831" s="27">
        <f t="shared" si="199"/>
        <v>0</v>
      </c>
      <c r="P831" s="3">
        <v>829</v>
      </c>
      <c r="Q831" s="3" t="e">
        <f t="shared" si="203"/>
        <v>#N/A</v>
      </c>
      <c r="R831" s="3" t="e">
        <f t="shared" si="204"/>
        <v>#N/A</v>
      </c>
      <c r="T831" s="46" t="str">
        <f t="shared" si="200"/>
        <v/>
      </c>
      <c r="U831" s="48" t="str">
        <f t="shared" si="201"/>
        <v/>
      </c>
      <c r="W831" s="56">
        <f t="shared" si="192"/>
        <v>0</v>
      </c>
      <c r="X831" s="57" t="str">
        <f t="shared" si="193"/>
        <v/>
      </c>
      <c r="Y831" s="58">
        <f t="shared" si="194"/>
        <v>0</v>
      </c>
      <c r="AA831" s="62" t="str">
        <f t="shared" si="205"/>
        <v/>
      </c>
    </row>
    <row r="832" spans="3:27">
      <c r="C832" s="82"/>
      <c r="E832" s="30" t="str">
        <f t="shared" si="202"/>
        <v>00:00:00</v>
      </c>
      <c r="F832" s="36" t="str">
        <f t="shared" si="195"/>
        <v/>
      </c>
      <c r="G832" s="36">
        <f t="shared" si="196"/>
        <v>0</v>
      </c>
      <c r="H832" s="3" t="str">
        <f t="shared" si="197"/>
        <v/>
      </c>
      <c r="I832" s="3">
        <f t="shared" si="198"/>
        <v>0</v>
      </c>
      <c r="L832" s="35">
        <f t="shared" si="206"/>
        <v>1</v>
      </c>
      <c r="O832" s="27">
        <f t="shared" si="199"/>
        <v>0</v>
      </c>
      <c r="P832" s="3">
        <v>830</v>
      </c>
      <c r="Q832" s="3" t="e">
        <f t="shared" si="203"/>
        <v>#N/A</v>
      </c>
      <c r="R832" s="3" t="e">
        <f t="shared" si="204"/>
        <v>#N/A</v>
      </c>
      <c r="T832" s="46" t="str">
        <f t="shared" si="200"/>
        <v/>
      </c>
      <c r="U832" s="48" t="str">
        <f t="shared" si="201"/>
        <v/>
      </c>
      <c r="W832" s="56">
        <f t="shared" si="192"/>
        <v>0</v>
      </c>
      <c r="X832" s="57" t="str">
        <f t="shared" si="193"/>
        <v/>
      </c>
      <c r="Y832" s="58">
        <f t="shared" si="194"/>
        <v>0</v>
      </c>
      <c r="AA832" s="62" t="str">
        <f t="shared" si="205"/>
        <v/>
      </c>
    </row>
    <row r="833" spans="3:27">
      <c r="C833" s="82"/>
      <c r="E833" s="30" t="str">
        <f t="shared" si="202"/>
        <v>00:00:00</v>
      </c>
      <c r="F833" s="36" t="str">
        <f t="shared" si="195"/>
        <v/>
      </c>
      <c r="G833" s="36">
        <f t="shared" si="196"/>
        <v>0</v>
      </c>
      <c r="H833" s="3" t="str">
        <f t="shared" si="197"/>
        <v/>
      </c>
      <c r="I833" s="3">
        <f t="shared" si="198"/>
        <v>0</v>
      </c>
      <c r="L833" s="35">
        <f t="shared" si="206"/>
        <v>1</v>
      </c>
      <c r="O833" s="27">
        <f t="shared" si="199"/>
        <v>0</v>
      </c>
      <c r="P833" s="3">
        <v>831</v>
      </c>
      <c r="Q833" s="3" t="e">
        <f t="shared" si="203"/>
        <v>#N/A</v>
      </c>
      <c r="R833" s="3" t="e">
        <f t="shared" si="204"/>
        <v>#N/A</v>
      </c>
      <c r="T833" s="46" t="str">
        <f t="shared" si="200"/>
        <v/>
      </c>
      <c r="U833" s="48" t="str">
        <f t="shared" si="201"/>
        <v/>
      </c>
      <c r="W833" s="56">
        <f t="shared" si="192"/>
        <v>0</v>
      </c>
      <c r="X833" s="57" t="str">
        <f t="shared" si="193"/>
        <v/>
      </c>
      <c r="Y833" s="58">
        <f t="shared" si="194"/>
        <v>0</v>
      </c>
      <c r="AA833" s="62" t="str">
        <f t="shared" si="205"/>
        <v/>
      </c>
    </row>
    <row r="834" spans="3:27">
      <c r="C834" s="82"/>
      <c r="E834" s="30" t="str">
        <f t="shared" si="202"/>
        <v>00:00:00</v>
      </c>
      <c r="F834" s="36" t="str">
        <f t="shared" si="195"/>
        <v/>
      </c>
      <c r="G834" s="36">
        <f t="shared" si="196"/>
        <v>0</v>
      </c>
      <c r="H834" s="3" t="str">
        <f t="shared" si="197"/>
        <v/>
      </c>
      <c r="I834" s="3">
        <f t="shared" si="198"/>
        <v>0</v>
      </c>
      <c r="L834" s="35">
        <f t="shared" si="206"/>
        <v>1</v>
      </c>
      <c r="O834" s="27">
        <f t="shared" si="199"/>
        <v>0</v>
      </c>
      <c r="P834" s="3">
        <v>832</v>
      </c>
      <c r="Q834" s="3" t="e">
        <f t="shared" si="203"/>
        <v>#N/A</v>
      </c>
      <c r="R834" s="3" t="e">
        <f t="shared" si="204"/>
        <v>#N/A</v>
      </c>
      <c r="T834" s="46" t="str">
        <f t="shared" si="200"/>
        <v/>
      </c>
      <c r="U834" s="48" t="str">
        <f t="shared" si="201"/>
        <v/>
      </c>
      <c r="W834" s="56">
        <f t="shared" ref="W834:W897" si="207">IF(H834&lt;&gt;H835,1,0)</f>
        <v>0</v>
      </c>
      <c r="X834" s="57" t="str">
        <f t="shared" ref="X834:X897" si="208">IF(W834=1,H834,"")</f>
        <v/>
      </c>
      <c r="Y834" s="58">
        <f t="shared" ref="Y834:Y897" si="209">D834</f>
        <v>0</v>
      </c>
      <c r="AA834" s="62" t="str">
        <f t="shared" si="205"/>
        <v/>
      </c>
    </row>
    <row r="835" spans="3:27">
      <c r="C835" s="82"/>
      <c r="E835" s="30" t="str">
        <f t="shared" si="202"/>
        <v>00:00:00</v>
      </c>
      <c r="F835" s="36" t="str">
        <f t="shared" ref="F835:F898" si="210">IF(G835=0,"",IF(G835&lt;8,1,IF(G835&lt;15,2,IF(G835&lt;22,3,4))))</f>
        <v/>
      </c>
      <c r="G835" s="36">
        <f t="shared" ref="G835:G898" si="211">DAY(B835)</f>
        <v>0</v>
      </c>
      <c r="H835" s="3" t="str">
        <f t="shared" ref="H835:H898" si="212">IF(ISNUMBER(B835),VLOOKUP(MONTH(B835),$J$2:$K$13,2,FALSE),"")</f>
        <v/>
      </c>
      <c r="I835" s="3">
        <f t="shared" ref="I835:I898" si="213">IF(A835&lt;&gt;A836,1,0)</f>
        <v>0</v>
      </c>
      <c r="L835" s="35">
        <f t="shared" si="206"/>
        <v>1</v>
      </c>
      <c r="O835" s="27">
        <f t="shared" ref="O835:O898" si="214">D835</f>
        <v>0</v>
      </c>
      <c r="P835" s="3">
        <v>833</v>
      </c>
      <c r="Q835" s="3" t="e">
        <f t="shared" si="203"/>
        <v>#N/A</v>
      </c>
      <c r="R835" s="3" t="e">
        <f t="shared" si="204"/>
        <v>#N/A</v>
      </c>
      <c r="T835" s="46" t="str">
        <f t="shared" ref="T835:T898" si="215">IFERROR(R835,"")</f>
        <v/>
      </c>
      <c r="U835" s="48" t="str">
        <f t="shared" ref="U835:U898" si="216">IFERROR(Q835,"")</f>
        <v/>
      </c>
      <c r="W835" s="56">
        <f t="shared" si="207"/>
        <v>0</v>
      </c>
      <c r="X835" s="57" t="str">
        <f t="shared" si="208"/>
        <v/>
      </c>
      <c r="Y835" s="58">
        <f t="shared" si="209"/>
        <v>0</v>
      </c>
      <c r="AA835" s="62" t="str">
        <f t="shared" si="205"/>
        <v/>
      </c>
    </row>
    <row r="836" spans="3:27">
      <c r="C836" s="82"/>
      <c r="E836" s="30" t="str">
        <f t="shared" ref="E836:E899" si="217">IF(A836&lt;&gt;A835,TEXT(C836,"hh:mm:ss"),TEXT(C836+E835,"hh:mm:ss"))</f>
        <v>00:00:00</v>
      </c>
      <c r="F836" s="36" t="str">
        <f t="shared" si="210"/>
        <v/>
      </c>
      <c r="G836" s="36">
        <f t="shared" si="211"/>
        <v>0</v>
      </c>
      <c r="H836" s="3" t="str">
        <f t="shared" si="212"/>
        <v/>
      </c>
      <c r="I836" s="3">
        <f t="shared" si="213"/>
        <v>0</v>
      </c>
      <c r="L836" s="35">
        <f t="shared" si="206"/>
        <v>1</v>
      </c>
      <c r="O836" s="27">
        <f t="shared" si="214"/>
        <v>0</v>
      </c>
      <c r="P836" s="3">
        <v>834</v>
      </c>
      <c r="Q836" s="3" t="e">
        <f t="shared" ref="Q836:Q899" si="218">VLOOKUP(P836,M:O,3,FALSE)</f>
        <v>#N/A</v>
      </c>
      <c r="R836" s="3" t="e">
        <f t="shared" ref="R836:R899" si="219">VLOOKUP(P836,M:N,2,FALSE)</f>
        <v>#N/A</v>
      </c>
      <c r="T836" s="46" t="str">
        <f t="shared" si="215"/>
        <v/>
      </c>
      <c r="U836" s="48" t="str">
        <f t="shared" si="216"/>
        <v/>
      </c>
      <c r="W836" s="56">
        <f t="shared" si="207"/>
        <v>0</v>
      </c>
      <c r="X836" s="57" t="str">
        <f t="shared" si="208"/>
        <v/>
      </c>
      <c r="Y836" s="58">
        <f t="shared" si="209"/>
        <v>0</v>
      </c>
      <c r="AA836" s="62" t="str">
        <f t="shared" ref="AA836:AA899" si="220">IFERROR(VLOOKUP(Z836,X:Y,2,FALSE),"")</f>
        <v/>
      </c>
    </row>
    <row r="837" spans="3:27">
      <c r="C837" s="82"/>
      <c r="E837" s="30" t="str">
        <f t="shared" si="217"/>
        <v>00:00:00</v>
      </c>
      <c r="F837" s="36" t="str">
        <f t="shared" si="210"/>
        <v/>
      </c>
      <c r="G837" s="36">
        <f t="shared" si="211"/>
        <v>0</v>
      </c>
      <c r="H837" s="3" t="str">
        <f t="shared" si="212"/>
        <v/>
      </c>
      <c r="I837" s="3">
        <f t="shared" si="213"/>
        <v>0</v>
      </c>
      <c r="L837" s="35">
        <f t="shared" si="206"/>
        <v>1</v>
      </c>
      <c r="O837" s="27">
        <f t="shared" si="214"/>
        <v>0</v>
      </c>
      <c r="P837" s="3">
        <v>835</v>
      </c>
      <c r="Q837" s="3" t="e">
        <f t="shared" si="218"/>
        <v>#N/A</v>
      </c>
      <c r="R837" s="3" t="e">
        <f t="shared" si="219"/>
        <v>#N/A</v>
      </c>
      <c r="T837" s="46" t="str">
        <f t="shared" si="215"/>
        <v/>
      </c>
      <c r="U837" s="48" t="str">
        <f t="shared" si="216"/>
        <v/>
      </c>
      <c r="W837" s="56">
        <f t="shared" si="207"/>
        <v>0</v>
      </c>
      <c r="X837" s="57" t="str">
        <f t="shared" si="208"/>
        <v/>
      </c>
      <c r="Y837" s="58">
        <f t="shared" si="209"/>
        <v>0</v>
      </c>
      <c r="AA837" s="62" t="str">
        <f t="shared" si="220"/>
        <v/>
      </c>
    </row>
    <row r="838" spans="3:27">
      <c r="C838" s="82"/>
      <c r="E838" s="30" t="str">
        <f t="shared" si="217"/>
        <v>00:00:00</v>
      </c>
      <c r="F838" s="36" t="str">
        <f t="shared" si="210"/>
        <v/>
      </c>
      <c r="G838" s="36">
        <f t="shared" si="211"/>
        <v>0</v>
      </c>
      <c r="H838" s="3" t="str">
        <f t="shared" si="212"/>
        <v/>
      </c>
      <c r="I838" s="3">
        <f t="shared" si="213"/>
        <v>0</v>
      </c>
      <c r="L838" s="35">
        <f t="shared" si="206"/>
        <v>1</v>
      </c>
      <c r="O838" s="27">
        <f t="shared" si="214"/>
        <v>0</v>
      </c>
      <c r="P838" s="3">
        <v>836</v>
      </c>
      <c r="Q838" s="3" t="e">
        <f t="shared" si="218"/>
        <v>#N/A</v>
      </c>
      <c r="R838" s="3" t="e">
        <f t="shared" si="219"/>
        <v>#N/A</v>
      </c>
      <c r="T838" s="46" t="str">
        <f t="shared" si="215"/>
        <v/>
      </c>
      <c r="U838" s="48" t="str">
        <f t="shared" si="216"/>
        <v/>
      </c>
      <c r="W838" s="56">
        <f t="shared" si="207"/>
        <v>0</v>
      </c>
      <c r="X838" s="57" t="str">
        <f t="shared" si="208"/>
        <v/>
      </c>
      <c r="Y838" s="58">
        <f t="shared" si="209"/>
        <v>0</v>
      </c>
      <c r="AA838" s="62" t="str">
        <f t="shared" si="220"/>
        <v/>
      </c>
    </row>
    <row r="839" spans="3:27">
      <c r="C839" s="82"/>
      <c r="E839" s="30" t="str">
        <f t="shared" si="217"/>
        <v>00:00:00</v>
      </c>
      <c r="F839" s="36" t="str">
        <f t="shared" si="210"/>
        <v/>
      </c>
      <c r="G839" s="36">
        <f t="shared" si="211"/>
        <v>0</v>
      </c>
      <c r="H839" s="3" t="str">
        <f t="shared" si="212"/>
        <v/>
      </c>
      <c r="I839" s="3">
        <f t="shared" si="213"/>
        <v>0</v>
      </c>
      <c r="L839" s="35">
        <f t="shared" si="206"/>
        <v>1</v>
      </c>
      <c r="O839" s="27">
        <f t="shared" si="214"/>
        <v>0</v>
      </c>
      <c r="P839" s="3">
        <v>837</v>
      </c>
      <c r="Q839" s="3" t="e">
        <f t="shared" si="218"/>
        <v>#N/A</v>
      </c>
      <c r="R839" s="3" t="e">
        <f t="shared" si="219"/>
        <v>#N/A</v>
      </c>
      <c r="T839" s="46" t="str">
        <f t="shared" si="215"/>
        <v/>
      </c>
      <c r="U839" s="48" t="str">
        <f t="shared" si="216"/>
        <v/>
      </c>
      <c r="W839" s="56">
        <f t="shared" si="207"/>
        <v>0</v>
      </c>
      <c r="X839" s="57" t="str">
        <f t="shared" si="208"/>
        <v/>
      </c>
      <c r="Y839" s="58">
        <f t="shared" si="209"/>
        <v>0</v>
      </c>
      <c r="AA839" s="62" t="str">
        <f t="shared" si="220"/>
        <v/>
      </c>
    </row>
    <row r="840" spans="3:27">
      <c r="C840" s="82"/>
      <c r="E840" s="30" t="str">
        <f t="shared" si="217"/>
        <v>00:00:00</v>
      </c>
      <c r="F840" s="36" t="str">
        <f t="shared" si="210"/>
        <v/>
      </c>
      <c r="G840" s="36">
        <f t="shared" si="211"/>
        <v>0</v>
      </c>
      <c r="H840" s="3" t="str">
        <f t="shared" si="212"/>
        <v/>
      </c>
      <c r="I840" s="3">
        <f t="shared" si="213"/>
        <v>0</v>
      </c>
      <c r="L840" s="35">
        <f t="shared" si="206"/>
        <v>1</v>
      </c>
      <c r="O840" s="27">
        <f t="shared" si="214"/>
        <v>0</v>
      </c>
      <c r="P840" s="3">
        <v>838</v>
      </c>
      <c r="Q840" s="3" t="e">
        <f t="shared" si="218"/>
        <v>#N/A</v>
      </c>
      <c r="R840" s="3" t="e">
        <f t="shared" si="219"/>
        <v>#N/A</v>
      </c>
      <c r="T840" s="46" t="str">
        <f t="shared" si="215"/>
        <v/>
      </c>
      <c r="U840" s="48" t="str">
        <f t="shared" si="216"/>
        <v/>
      </c>
      <c r="W840" s="56">
        <f t="shared" si="207"/>
        <v>0</v>
      </c>
      <c r="X840" s="57" t="str">
        <f t="shared" si="208"/>
        <v/>
      </c>
      <c r="Y840" s="58">
        <f t="shared" si="209"/>
        <v>0</v>
      </c>
      <c r="AA840" s="62" t="str">
        <f t="shared" si="220"/>
        <v/>
      </c>
    </row>
    <row r="841" spans="3:27">
      <c r="C841" s="82"/>
      <c r="E841" s="30" t="str">
        <f t="shared" si="217"/>
        <v>00:00:00</v>
      </c>
      <c r="F841" s="36" t="str">
        <f t="shared" si="210"/>
        <v/>
      </c>
      <c r="G841" s="36">
        <f t="shared" si="211"/>
        <v>0</v>
      </c>
      <c r="H841" s="3" t="str">
        <f t="shared" si="212"/>
        <v/>
      </c>
      <c r="I841" s="3">
        <f t="shared" si="213"/>
        <v>0</v>
      </c>
      <c r="L841" s="35">
        <f t="shared" si="206"/>
        <v>1</v>
      </c>
      <c r="O841" s="27">
        <f t="shared" si="214"/>
        <v>0</v>
      </c>
      <c r="P841" s="3">
        <v>839</v>
      </c>
      <c r="Q841" s="3" t="e">
        <f t="shared" si="218"/>
        <v>#N/A</v>
      </c>
      <c r="R841" s="3" t="e">
        <f t="shared" si="219"/>
        <v>#N/A</v>
      </c>
      <c r="T841" s="46" t="str">
        <f t="shared" si="215"/>
        <v/>
      </c>
      <c r="U841" s="48" t="str">
        <f t="shared" si="216"/>
        <v/>
      </c>
      <c r="W841" s="56">
        <f t="shared" si="207"/>
        <v>0</v>
      </c>
      <c r="X841" s="57" t="str">
        <f t="shared" si="208"/>
        <v/>
      </c>
      <c r="Y841" s="58">
        <f t="shared" si="209"/>
        <v>0</v>
      </c>
      <c r="AA841" s="62" t="str">
        <f t="shared" si="220"/>
        <v/>
      </c>
    </row>
    <row r="842" spans="3:27">
      <c r="C842" s="82"/>
      <c r="E842" s="30" t="str">
        <f t="shared" si="217"/>
        <v>00:00:00</v>
      </c>
      <c r="F842" s="36" t="str">
        <f t="shared" si="210"/>
        <v/>
      </c>
      <c r="G842" s="36">
        <f t="shared" si="211"/>
        <v>0</v>
      </c>
      <c r="H842" s="3" t="str">
        <f t="shared" si="212"/>
        <v/>
      </c>
      <c r="I842" s="3">
        <f t="shared" si="213"/>
        <v>0</v>
      </c>
      <c r="L842" s="35">
        <f t="shared" si="206"/>
        <v>1</v>
      </c>
      <c r="O842" s="27">
        <f t="shared" si="214"/>
        <v>0</v>
      </c>
      <c r="P842" s="3">
        <v>840</v>
      </c>
      <c r="Q842" s="3" t="e">
        <f t="shared" si="218"/>
        <v>#N/A</v>
      </c>
      <c r="R842" s="3" t="e">
        <f t="shared" si="219"/>
        <v>#N/A</v>
      </c>
      <c r="T842" s="46" t="str">
        <f t="shared" si="215"/>
        <v/>
      </c>
      <c r="U842" s="48" t="str">
        <f t="shared" si="216"/>
        <v/>
      </c>
      <c r="W842" s="56">
        <f t="shared" si="207"/>
        <v>0</v>
      </c>
      <c r="X842" s="57" t="str">
        <f t="shared" si="208"/>
        <v/>
      </c>
      <c r="Y842" s="58">
        <f t="shared" si="209"/>
        <v>0</v>
      </c>
      <c r="AA842" s="62" t="str">
        <f t="shared" si="220"/>
        <v/>
      </c>
    </row>
    <row r="843" spans="3:27">
      <c r="C843" s="82"/>
      <c r="E843" s="30" t="str">
        <f t="shared" si="217"/>
        <v>00:00:00</v>
      </c>
      <c r="F843" s="36" t="str">
        <f t="shared" si="210"/>
        <v/>
      </c>
      <c r="G843" s="36">
        <f t="shared" si="211"/>
        <v>0</v>
      </c>
      <c r="H843" s="3" t="str">
        <f t="shared" si="212"/>
        <v/>
      </c>
      <c r="I843" s="3">
        <f t="shared" si="213"/>
        <v>0</v>
      </c>
      <c r="L843" s="35">
        <f t="shared" si="206"/>
        <v>1</v>
      </c>
      <c r="O843" s="27">
        <f t="shared" si="214"/>
        <v>0</v>
      </c>
      <c r="P843" s="3">
        <v>841</v>
      </c>
      <c r="Q843" s="3" t="e">
        <f t="shared" si="218"/>
        <v>#N/A</v>
      </c>
      <c r="R843" s="3" t="e">
        <f t="shared" si="219"/>
        <v>#N/A</v>
      </c>
      <c r="T843" s="46" t="str">
        <f t="shared" si="215"/>
        <v/>
      </c>
      <c r="U843" s="48" t="str">
        <f t="shared" si="216"/>
        <v/>
      </c>
      <c r="W843" s="56">
        <f t="shared" si="207"/>
        <v>0</v>
      </c>
      <c r="X843" s="57" t="str">
        <f t="shared" si="208"/>
        <v/>
      </c>
      <c r="Y843" s="58">
        <f t="shared" si="209"/>
        <v>0</v>
      </c>
      <c r="AA843" s="62" t="str">
        <f t="shared" si="220"/>
        <v/>
      </c>
    </row>
    <row r="844" spans="3:27">
      <c r="C844" s="82"/>
      <c r="E844" s="30" t="str">
        <f t="shared" si="217"/>
        <v>00:00:00</v>
      </c>
      <c r="F844" s="36" t="str">
        <f t="shared" si="210"/>
        <v/>
      </c>
      <c r="G844" s="36">
        <f t="shared" si="211"/>
        <v>0</v>
      </c>
      <c r="H844" s="3" t="str">
        <f t="shared" si="212"/>
        <v/>
      </c>
      <c r="I844" s="3">
        <f t="shared" si="213"/>
        <v>0</v>
      </c>
      <c r="L844" s="35">
        <f t="shared" ref="L844:L907" si="221">IF(I843=1,L843+I843,L843)</f>
        <v>1</v>
      </c>
      <c r="O844" s="27">
        <f t="shared" si="214"/>
        <v>0</v>
      </c>
      <c r="P844" s="3">
        <v>842</v>
      </c>
      <c r="Q844" s="3" t="e">
        <f t="shared" si="218"/>
        <v>#N/A</v>
      </c>
      <c r="R844" s="3" t="e">
        <f t="shared" si="219"/>
        <v>#N/A</v>
      </c>
      <c r="T844" s="46" t="str">
        <f t="shared" si="215"/>
        <v/>
      </c>
      <c r="U844" s="48" t="str">
        <f t="shared" si="216"/>
        <v/>
      </c>
      <c r="W844" s="56">
        <f t="shared" si="207"/>
        <v>0</v>
      </c>
      <c r="X844" s="57" t="str">
        <f t="shared" si="208"/>
        <v/>
      </c>
      <c r="Y844" s="58">
        <f t="shared" si="209"/>
        <v>0</v>
      </c>
      <c r="AA844" s="62" t="str">
        <f t="shared" si="220"/>
        <v/>
      </c>
    </row>
    <row r="845" spans="3:27">
      <c r="C845" s="82"/>
      <c r="E845" s="30" t="str">
        <f t="shared" si="217"/>
        <v>00:00:00</v>
      </c>
      <c r="F845" s="36" t="str">
        <f t="shared" si="210"/>
        <v/>
      </c>
      <c r="G845" s="36">
        <f t="shared" si="211"/>
        <v>0</v>
      </c>
      <c r="H845" s="3" t="str">
        <f t="shared" si="212"/>
        <v/>
      </c>
      <c r="I845" s="3">
        <f t="shared" si="213"/>
        <v>0</v>
      </c>
      <c r="L845" s="35">
        <f t="shared" si="221"/>
        <v>1</v>
      </c>
      <c r="O845" s="27">
        <f t="shared" si="214"/>
        <v>0</v>
      </c>
      <c r="P845" s="3">
        <v>843</v>
      </c>
      <c r="Q845" s="3" t="e">
        <f t="shared" si="218"/>
        <v>#N/A</v>
      </c>
      <c r="R845" s="3" t="e">
        <f t="shared" si="219"/>
        <v>#N/A</v>
      </c>
      <c r="T845" s="46" t="str">
        <f t="shared" si="215"/>
        <v/>
      </c>
      <c r="U845" s="48" t="str">
        <f t="shared" si="216"/>
        <v/>
      </c>
      <c r="W845" s="56">
        <f t="shared" si="207"/>
        <v>0</v>
      </c>
      <c r="X845" s="57" t="str">
        <f t="shared" si="208"/>
        <v/>
      </c>
      <c r="Y845" s="58">
        <f t="shared" si="209"/>
        <v>0</v>
      </c>
      <c r="AA845" s="62" t="str">
        <f t="shared" si="220"/>
        <v/>
      </c>
    </row>
    <row r="846" spans="3:27">
      <c r="C846" s="82"/>
      <c r="E846" s="30" t="str">
        <f t="shared" si="217"/>
        <v>00:00:00</v>
      </c>
      <c r="F846" s="36" t="str">
        <f t="shared" si="210"/>
        <v/>
      </c>
      <c r="G846" s="36">
        <f t="shared" si="211"/>
        <v>0</v>
      </c>
      <c r="H846" s="3" t="str">
        <f t="shared" si="212"/>
        <v/>
      </c>
      <c r="I846" s="3">
        <f t="shared" si="213"/>
        <v>0</v>
      </c>
      <c r="L846" s="35">
        <f t="shared" si="221"/>
        <v>1</v>
      </c>
      <c r="O846" s="27">
        <f t="shared" si="214"/>
        <v>0</v>
      </c>
      <c r="P846" s="3">
        <v>844</v>
      </c>
      <c r="Q846" s="3" t="e">
        <f t="shared" si="218"/>
        <v>#N/A</v>
      </c>
      <c r="R846" s="3" t="e">
        <f t="shared" si="219"/>
        <v>#N/A</v>
      </c>
      <c r="T846" s="46" t="str">
        <f t="shared" si="215"/>
        <v/>
      </c>
      <c r="U846" s="48" t="str">
        <f t="shared" si="216"/>
        <v/>
      </c>
      <c r="W846" s="56">
        <f t="shared" si="207"/>
        <v>0</v>
      </c>
      <c r="X846" s="57" t="str">
        <f t="shared" si="208"/>
        <v/>
      </c>
      <c r="Y846" s="58">
        <f t="shared" si="209"/>
        <v>0</v>
      </c>
      <c r="AA846" s="62" t="str">
        <f t="shared" si="220"/>
        <v/>
      </c>
    </row>
    <row r="847" spans="3:27">
      <c r="C847" s="82"/>
      <c r="E847" s="30" t="str">
        <f t="shared" si="217"/>
        <v>00:00:00</v>
      </c>
      <c r="F847" s="36" t="str">
        <f t="shared" si="210"/>
        <v/>
      </c>
      <c r="G847" s="36">
        <f t="shared" si="211"/>
        <v>0</v>
      </c>
      <c r="H847" s="3" t="str">
        <f t="shared" si="212"/>
        <v/>
      </c>
      <c r="I847" s="3">
        <f t="shared" si="213"/>
        <v>0</v>
      </c>
      <c r="L847" s="35">
        <f t="shared" si="221"/>
        <v>1</v>
      </c>
      <c r="O847" s="27">
        <f t="shared" si="214"/>
        <v>0</v>
      </c>
      <c r="P847" s="3">
        <v>845</v>
      </c>
      <c r="Q847" s="3" t="e">
        <f t="shared" si="218"/>
        <v>#N/A</v>
      </c>
      <c r="R847" s="3" t="e">
        <f t="shared" si="219"/>
        <v>#N/A</v>
      </c>
      <c r="T847" s="46" t="str">
        <f t="shared" si="215"/>
        <v/>
      </c>
      <c r="U847" s="48" t="str">
        <f t="shared" si="216"/>
        <v/>
      </c>
      <c r="W847" s="56">
        <f t="shared" si="207"/>
        <v>0</v>
      </c>
      <c r="X847" s="57" t="str">
        <f t="shared" si="208"/>
        <v/>
      </c>
      <c r="Y847" s="58">
        <f t="shared" si="209"/>
        <v>0</v>
      </c>
      <c r="AA847" s="62" t="str">
        <f t="shared" si="220"/>
        <v/>
      </c>
    </row>
    <row r="848" spans="3:27">
      <c r="C848" s="82"/>
      <c r="E848" s="30" t="str">
        <f t="shared" si="217"/>
        <v>00:00:00</v>
      </c>
      <c r="F848" s="36" t="str">
        <f t="shared" si="210"/>
        <v/>
      </c>
      <c r="G848" s="36">
        <f t="shared" si="211"/>
        <v>0</v>
      </c>
      <c r="H848" s="3" t="str">
        <f t="shared" si="212"/>
        <v/>
      </c>
      <c r="I848" s="3">
        <f t="shared" si="213"/>
        <v>0</v>
      </c>
      <c r="L848" s="35">
        <f t="shared" si="221"/>
        <v>1</v>
      </c>
      <c r="O848" s="27">
        <f t="shared" si="214"/>
        <v>0</v>
      </c>
      <c r="P848" s="3">
        <v>846</v>
      </c>
      <c r="Q848" s="3" t="e">
        <f t="shared" si="218"/>
        <v>#N/A</v>
      </c>
      <c r="R848" s="3" t="e">
        <f t="shared" si="219"/>
        <v>#N/A</v>
      </c>
      <c r="T848" s="46" t="str">
        <f t="shared" si="215"/>
        <v/>
      </c>
      <c r="U848" s="48" t="str">
        <f t="shared" si="216"/>
        <v/>
      </c>
      <c r="W848" s="56">
        <f t="shared" si="207"/>
        <v>0</v>
      </c>
      <c r="X848" s="57" t="str">
        <f t="shared" si="208"/>
        <v/>
      </c>
      <c r="Y848" s="58">
        <f t="shared" si="209"/>
        <v>0</v>
      </c>
      <c r="AA848" s="62" t="str">
        <f t="shared" si="220"/>
        <v/>
      </c>
    </row>
    <row r="849" spans="3:27">
      <c r="C849" s="82"/>
      <c r="E849" s="30" t="str">
        <f t="shared" si="217"/>
        <v>00:00:00</v>
      </c>
      <c r="F849" s="36" t="str">
        <f t="shared" si="210"/>
        <v/>
      </c>
      <c r="G849" s="36">
        <f t="shared" si="211"/>
        <v>0</v>
      </c>
      <c r="H849" s="3" t="str">
        <f t="shared" si="212"/>
        <v/>
      </c>
      <c r="I849" s="3">
        <f t="shared" si="213"/>
        <v>0</v>
      </c>
      <c r="L849" s="35">
        <f t="shared" si="221"/>
        <v>1</v>
      </c>
      <c r="O849" s="27">
        <f t="shared" si="214"/>
        <v>0</v>
      </c>
      <c r="P849" s="3">
        <v>847</v>
      </c>
      <c r="Q849" s="3" t="e">
        <f t="shared" si="218"/>
        <v>#N/A</v>
      </c>
      <c r="R849" s="3" t="e">
        <f t="shared" si="219"/>
        <v>#N/A</v>
      </c>
      <c r="T849" s="46" t="str">
        <f t="shared" si="215"/>
        <v/>
      </c>
      <c r="U849" s="48" t="str">
        <f t="shared" si="216"/>
        <v/>
      </c>
      <c r="W849" s="56">
        <f t="shared" si="207"/>
        <v>0</v>
      </c>
      <c r="X849" s="57" t="str">
        <f t="shared" si="208"/>
        <v/>
      </c>
      <c r="Y849" s="58">
        <f t="shared" si="209"/>
        <v>0</v>
      </c>
      <c r="AA849" s="62" t="str">
        <f t="shared" si="220"/>
        <v/>
      </c>
    </row>
    <row r="850" spans="3:27">
      <c r="C850" s="82"/>
      <c r="E850" s="30" t="str">
        <f t="shared" si="217"/>
        <v>00:00:00</v>
      </c>
      <c r="F850" s="36" t="str">
        <f t="shared" si="210"/>
        <v/>
      </c>
      <c r="G850" s="36">
        <f t="shared" si="211"/>
        <v>0</v>
      </c>
      <c r="H850" s="3" t="str">
        <f t="shared" si="212"/>
        <v/>
      </c>
      <c r="I850" s="3">
        <f t="shared" si="213"/>
        <v>0</v>
      </c>
      <c r="L850" s="35">
        <f t="shared" si="221"/>
        <v>1</v>
      </c>
      <c r="O850" s="27">
        <f t="shared" si="214"/>
        <v>0</v>
      </c>
      <c r="P850" s="3">
        <v>848</v>
      </c>
      <c r="Q850" s="3" t="e">
        <f t="shared" si="218"/>
        <v>#N/A</v>
      </c>
      <c r="R850" s="3" t="e">
        <f t="shared" si="219"/>
        <v>#N/A</v>
      </c>
      <c r="T850" s="46" t="str">
        <f t="shared" si="215"/>
        <v/>
      </c>
      <c r="U850" s="48" t="str">
        <f t="shared" si="216"/>
        <v/>
      </c>
      <c r="W850" s="56">
        <f t="shared" si="207"/>
        <v>0</v>
      </c>
      <c r="X850" s="57" t="str">
        <f t="shared" si="208"/>
        <v/>
      </c>
      <c r="Y850" s="58">
        <f t="shared" si="209"/>
        <v>0</v>
      </c>
      <c r="AA850" s="62" t="str">
        <f t="shared" si="220"/>
        <v/>
      </c>
    </row>
    <row r="851" spans="3:27">
      <c r="C851" s="82"/>
      <c r="E851" s="30" t="str">
        <f t="shared" si="217"/>
        <v>00:00:00</v>
      </c>
      <c r="F851" s="36" t="str">
        <f t="shared" si="210"/>
        <v/>
      </c>
      <c r="G851" s="36">
        <f t="shared" si="211"/>
        <v>0</v>
      </c>
      <c r="H851" s="3" t="str">
        <f t="shared" si="212"/>
        <v/>
      </c>
      <c r="I851" s="3">
        <f t="shared" si="213"/>
        <v>0</v>
      </c>
      <c r="L851" s="35">
        <f t="shared" si="221"/>
        <v>1</v>
      </c>
      <c r="O851" s="27">
        <f t="shared" si="214"/>
        <v>0</v>
      </c>
      <c r="P851" s="3">
        <v>849</v>
      </c>
      <c r="Q851" s="3" t="e">
        <f t="shared" si="218"/>
        <v>#N/A</v>
      </c>
      <c r="R851" s="3" t="e">
        <f t="shared" si="219"/>
        <v>#N/A</v>
      </c>
      <c r="T851" s="46" t="str">
        <f t="shared" si="215"/>
        <v/>
      </c>
      <c r="U851" s="48" t="str">
        <f t="shared" si="216"/>
        <v/>
      </c>
      <c r="W851" s="56">
        <f t="shared" si="207"/>
        <v>0</v>
      </c>
      <c r="X851" s="57" t="str">
        <f t="shared" si="208"/>
        <v/>
      </c>
      <c r="Y851" s="58">
        <f t="shared" si="209"/>
        <v>0</v>
      </c>
      <c r="AA851" s="62" t="str">
        <f t="shared" si="220"/>
        <v/>
      </c>
    </row>
    <row r="852" spans="3:27">
      <c r="C852" s="82"/>
      <c r="E852" s="30" t="str">
        <f t="shared" si="217"/>
        <v>00:00:00</v>
      </c>
      <c r="F852" s="36" t="str">
        <f t="shared" si="210"/>
        <v/>
      </c>
      <c r="G852" s="36">
        <f t="shared" si="211"/>
        <v>0</v>
      </c>
      <c r="H852" s="3" t="str">
        <f t="shared" si="212"/>
        <v/>
      </c>
      <c r="I852" s="3">
        <f t="shared" si="213"/>
        <v>0</v>
      </c>
      <c r="L852" s="35">
        <f t="shared" si="221"/>
        <v>1</v>
      </c>
      <c r="O852" s="27">
        <f t="shared" si="214"/>
        <v>0</v>
      </c>
      <c r="P852" s="3">
        <v>850</v>
      </c>
      <c r="Q852" s="3" t="e">
        <f t="shared" si="218"/>
        <v>#N/A</v>
      </c>
      <c r="R852" s="3" t="e">
        <f t="shared" si="219"/>
        <v>#N/A</v>
      </c>
      <c r="T852" s="46" t="str">
        <f t="shared" si="215"/>
        <v/>
      </c>
      <c r="U852" s="48" t="str">
        <f t="shared" si="216"/>
        <v/>
      </c>
      <c r="W852" s="56">
        <f t="shared" si="207"/>
        <v>0</v>
      </c>
      <c r="X852" s="57" t="str">
        <f t="shared" si="208"/>
        <v/>
      </c>
      <c r="Y852" s="58">
        <f t="shared" si="209"/>
        <v>0</v>
      </c>
      <c r="AA852" s="62" t="str">
        <f t="shared" si="220"/>
        <v/>
      </c>
    </row>
    <row r="853" spans="3:27">
      <c r="C853" s="82"/>
      <c r="E853" s="30" t="str">
        <f t="shared" si="217"/>
        <v>00:00:00</v>
      </c>
      <c r="F853" s="36" t="str">
        <f t="shared" si="210"/>
        <v/>
      </c>
      <c r="G853" s="36">
        <f t="shared" si="211"/>
        <v>0</v>
      </c>
      <c r="H853" s="3" t="str">
        <f t="shared" si="212"/>
        <v/>
      </c>
      <c r="I853" s="3">
        <f t="shared" si="213"/>
        <v>0</v>
      </c>
      <c r="L853" s="35">
        <f t="shared" si="221"/>
        <v>1</v>
      </c>
      <c r="O853" s="27">
        <f t="shared" si="214"/>
        <v>0</v>
      </c>
      <c r="P853" s="3">
        <v>851</v>
      </c>
      <c r="Q853" s="3" t="e">
        <f t="shared" si="218"/>
        <v>#N/A</v>
      </c>
      <c r="R853" s="3" t="e">
        <f t="shared" si="219"/>
        <v>#N/A</v>
      </c>
      <c r="T853" s="46" t="str">
        <f t="shared" si="215"/>
        <v/>
      </c>
      <c r="U853" s="48" t="str">
        <f t="shared" si="216"/>
        <v/>
      </c>
      <c r="W853" s="56">
        <f t="shared" si="207"/>
        <v>0</v>
      </c>
      <c r="X853" s="57" t="str">
        <f t="shared" si="208"/>
        <v/>
      </c>
      <c r="Y853" s="58">
        <f t="shared" si="209"/>
        <v>0</v>
      </c>
      <c r="AA853" s="62" t="str">
        <f t="shared" si="220"/>
        <v/>
      </c>
    </row>
    <row r="854" spans="3:27">
      <c r="C854" s="82"/>
      <c r="E854" s="30" t="str">
        <f t="shared" si="217"/>
        <v>00:00:00</v>
      </c>
      <c r="F854" s="36" t="str">
        <f t="shared" si="210"/>
        <v/>
      </c>
      <c r="G854" s="36">
        <f t="shared" si="211"/>
        <v>0</v>
      </c>
      <c r="H854" s="3" t="str">
        <f t="shared" si="212"/>
        <v/>
      </c>
      <c r="I854" s="3">
        <f t="shared" si="213"/>
        <v>0</v>
      </c>
      <c r="L854" s="35">
        <f t="shared" si="221"/>
        <v>1</v>
      </c>
      <c r="O854" s="27">
        <f t="shared" si="214"/>
        <v>0</v>
      </c>
      <c r="P854" s="3">
        <v>852</v>
      </c>
      <c r="Q854" s="3" t="e">
        <f t="shared" si="218"/>
        <v>#N/A</v>
      </c>
      <c r="R854" s="3" t="e">
        <f t="shared" si="219"/>
        <v>#N/A</v>
      </c>
      <c r="T854" s="46" t="str">
        <f t="shared" si="215"/>
        <v/>
      </c>
      <c r="U854" s="48" t="str">
        <f t="shared" si="216"/>
        <v/>
      </c>
      <c r="W854" s="56">
        <f t="shared" si="207"/>
        <v>0</v>
      </c>
      <c r="X854" s="57" t="str">
        <f t="shared" si="208"/>
        <v/>
      </c>
      <c r="Y854" s="58">
        <f t="shared" si="209"/>
        <v>0</v>
      </c>
      <c r="AA854" s="62" t="str">
        <f t="shared" si="220"/>
        <v/>
      </c>
    </row>
    <row r="855" spans="3:27">
      <c r="C855" s="82"/>
      <c r="E855" s="30" t="str">
        <f t="shared" si="217"/>
        <v>00:00:00</v>
      </c>
      <c r="F855" s="36" t="str">
        <f t="shared" si="210"/>
        <v/>
      </c>
      <c r="G855" s="36">
        <f t="shared" si="211"/>
        <v>0</v>
      </c>
      <c r="H855" s="3" t="str">
        <f t="shared" si="212"/>
        <v/>
      </c>
      <c r="I855" s="3">
        <f t="shared" si="213"/>
        <v>0</v>
      </c>
      <c r="L855" s="35">
        <f t="shared" si="221"/>
        <v>1</v>
      </c>
      <c r="O855" s="27">
        <f t="shared" si="214"/>
        <v>0</v>
      </c>
      <c r="P855" s="3">
        <v>853</v>
      </c>
      <c r="Q855" s="3" t="e">
        <f t="shared" si="218"/>
        <v>#N/A</v>
      </c>
      <c r="R855" s="3" t="e">
        <f t="shared" si="219"/>
        <v>#N/A</v>
      </c>
      <c r="T855" s="46" t="str">
        <f t="shared" si="215"/>
        <v/>
      </c>
      <c r="U855" s="48" t="str">
        <f t="shared" si="216"/>
        <v/>
      </c>
      <c r="W855" s="56">
        <f t="shared" si="207"/>
        <v>0</v>
      </c>
      <c r="X855" s="57" t="str">
        <f t="shared" si="208"/>
        <v/>
      </c>
      <c r="Y855" s="58">
        <f t="shared" si="209"/>
        <v>0</v>
      </c>
      <c r="AA855" s="62" t="str">
        <f t="shared" si="220"/>
        <v/>
      </c>
    </row>
    <row r="856" spans="3:27">
      <c r="C856" s="82"/>
      <c r="E856" s="30" t="str">
        <f t="shared" si="217"/>
        <v>00:00:00</v>
      </c>
      <c r="F856" s="36" t="str">
        <f t="shared" si="210"/>
        <v/>
      </c>
      <c r="G856" s="36">
        <f t="shared" si="211"/>
        <v>0</v>
      </c>
      <c r="H856" s="3" t="str">
        <f t="shared" si="212"/>
        <v/>
      </c>
      <c r="I856" s="3">
        <f t="shared" si="213"/>
        <v>0</v>
      </c>
      <c r="L856" s="35">
        <f t="shared" si="221"/>
        <v>1</v>
      </c>
      <c r="O856" s="27">
        <f t="shared" si="214"/>
        <v>0</v>
      </c>
      <c r="P856" s="3">
        <v>854</v>
      </c>
      <c r="Q856" s="3" t="e">
        <f t="shared" si="218"/>
        <v>#N/A</v>
      </c>
      <c r="R856" s="3" t="e">
        <f t="shared" si="219"/>
        <v>#N/A</v>
      </c>
      <c r="T856" s="46" t="str">
        <f t="shared" si="215"/>
        <v/>
      </c>
      <c r="U856" s="48" t="str">
        <f t="shared" si="216"/>
        <v/>
      </c>
      <c r="W856" s="56">
        <f t="shared" si="207"/>
        <v>0</v>
      </c>
      <c r="X856" s="57" t="str">
        <f t="shared" si="208"/>
        <v/>
      </c>
      <c r="Y856" s="58">
        <f t="shared" si="209"/>
        <v>0</v>
      </c>
      <c r="AA856" s="62" t="str">
        <f t="shared" si="220"/>
        <v/>
      </c>
    </row>
    <row r="857" spans="3:27">
      <c r="C857" s="82"/>
      <c r="E857" s="30" t="str">
        <f t="shared" si="217"/>
        <v>00:00:00</v>
      </c>
      <c r="F857" s="36" t="str">
        <f t="shared" si="210"/>
        <v/>
      </c>
      <c r="G857" s="36">
        <f t="shared" si="211"/>
        <v>0</v>
      </c>
      <c r="H857" s="3" t="str">
        <f t="shared" si="212"/>
        <v/>
      </c>
      <c r="I857" s="3">
        <f t="shared" si="213"/>
        <v>0</v>
      </c>
      <c r="L857" s="35">
        <f t="shared" si="221"/>
        <v>1</v>
      </c>
      <c r="O857" s="27">
        <f t="shared" si="214"/>
        <v>0</v>
      </c>
      <c r="P857" s="3">
        <v>855</v>
      </c>
      <c r="Q857" s="3" t="e">
        <f t="shared" si="218"/>
        <v>#N/A</v>
      </c>
      <c r="R857" s="3" t="e">
        <f t="shared" si="219"/>
        <v>#N/A</v>
      </c>
      <c r="T857" s="46" t="str">
        <f t="shared" si="215"/>
        <v/>
      </c>
      <c r="U857" s="48" t="str">
        <f t="shared" si="216"/>
        <v/>
      </c>
      <c r="W857" s="56">
        <f t="shared" si="207"/>
        <v>0</v>
      </c>
      <c r="X857" s="57" t="str">
        <f t="shared" si="208"/>
        <v/>
      </c>
      <c r="Y857" s="58">
        <f t="shared" si="209"/>
        <v>0</v>
      </c>
      <c r="AA857" s="62" t="str">
        <f t="shared" si="220"/>
        <v/>
      </c>
    </row>
    <row r="858" spans="3:27">
      <c r="C858" s="82"/>
      <c r="E858" s="30" t="str">
        <f t="shared" si="217"/>
        <v>00:00:00</v>
      </c>
      <c r="F858" s="36" t="str">
        <f t="shared" si="210"/>
        <v/>
      </c>
      <c r="G858" s="36">
        <f t="shared" si="211"/>
        <v>0</v>
      </c>
      <c r="H858" s="3" t="str">
        <f t="shared" si="212"/>
        <v/>
      </c>
      <c r="I858" s="3">
        <f t="shared" si="213"/>
        <v>0</v>
      </c>
      <c r="L858" s="35">
        <f t="shared" si="221"/>
        <v>1</v>
      </c>
      <c r="O858" s="27">
        <f t="shared" si="214"/>
        <v>0</v>
      </c>
      <c r="P858" s="3">
        <v>856</v>
      </c>
      <c r="Q858" s="3" t="e">
        <f t="shared" si="218"/>
        <v>#N/A</v>
      </c>
      <c r="R858" s="3" t="e">
        <f t="shared" si="219"/>
        <v>#N/A</v>
      </c>
      <c r="T858" s="46" t="str">
        <f t="shared" si="215"/>
        <v/>
      </c>
      <c r="U858" s="48" t="str">
        <f t="shared" si="216"/>
        <v/>
      </c>
      <c r="W858" s="56">
        <f t="shared" si="207"/>
        <v>0</v>
      </c>
      <c r="X858" s="57" t="str">
        <f t="shared" si="208"/>
        <v/>
      </c>
      <c r="Y858" s="58">
        <f t="shared" si="209"/>
        <v>0</v>
      </c>
      <c r="AA858" s="62" t="str">
        <f t="shared" si="220"/>
        <v/>
      </c>
    </row>
    <row r="859" spans="3:27">
      <c r="C859" s="82"/>
      <c r="E859" s="30" t="str">
        <f t="shared" si="217"/>
        <v>00:00:00</v>
      </c>
      <c r="F859" s="36" t="str">
        <f t="shared" si="210"/>
        <v/>
      </c>
      <c r="G859" s="36">
        <f t="shared" si="211"/>
        <v>0</v>
      </c>
      <c r="H859" s="3" t="str">
        <f t="shared" si="212"/>
        <v/>
      </c>
      <c r="I859" s="3">
        <f t="shared" si="213"/>
        <v>0</v>
      </c>
      <c r="L859" s="35">
        <f t="shared" si="221"/>
        <v>1</v>
      </c>
      <c r="O859" s="27">
        <f t="shared" si="214"/>
        <v>0</v>
      </c>
      <c r="P859" s="3">
        <v>857</v>
      </c>
      <c r="Q859" s="3" t="e">
        <f t="shared" si="218"/>
        <v>#N/A</v>
      </c>
      <c r="R859" s="3" t="e">
        <f t="shared" si="219"/>
        <v>#N/A</v>
      </c>
      <c r="T859" s="46" t="str">
        <f t="shared" si="215"/>
        <v/>
      </c>
      <c r="U859" s="48" t="str">
        <f t="shared" si="216"/>
        <v/>
      </c>
      <c r="W859" s="56">
        <f t="shared" si="207"/>
        <v>0</v>
      </c>
      <c r="X859" s="57" t="str">
        <f t="shared" si="208"/>
        <v/>
      </c>
      <c r="Y859" s="58">
        <f t="shared" si="209"/>
        <v>0</v>
      </c>
      <c r="AA859" s="62" t="str">
        <f t="shared" si="220"/>
        <v/>
      </c>
    </row>
    <row r="860" spans="3:27">
      <c r="C860" s="82"/>
      <c r="E860" s="30" t="str">
        <f t="shared" si="217"/>
        <v>00:00:00</v>
      </c>
      <c r="F860" s="36" t="str">
        <f t="shared" si="210"/>
        <v/>
      </c>
      <c r="G860" s="36">
        <f t="shared" si="211"/>
        <v>0</v>
      </c>
      <c r="H860" s="3" t="str">
        <f t="shared" si="212"/>
        <v/>
      </c>
      <c r="I860" s="3">
        <f t="shared" si="213"/>
        <v>0</v>
      </c>
      <c r="L860" s="35">
        <f t="shared" si="221"/>
        <v>1</v>
      </c>
      <c r="O860" s="27">
        <f t="shared" si="214"/>
        <v>0</v>
      </c>
      <c r="P860" s="3">
        <v>858</v>
      </c>
      <c r="Q860" s="3" t="e">
        <f t="shared" si="218"/>
        <v>#N/A</v>
      </c>
      <c r="R860" s="3" t="e">
        <f t="shared" si="219"/>
        <v>#N/A</v>
      </c>
      <c r="T860" s="46" t="str">
        <f t="shared" si="215"/>
        <v/>
      </c>
      <c r="U860" s="48" t="str">
        <f t="shared" si="216"/>
        <v/>
      </c>
      <c r="W860" s="56">
        <f t="shared" si="207"/>
        <v>0</v>
      </c>
      <c r="X860" s="57" t="str">
        <f t="shared" si="208"/>
        <v/>
      </c>
      <c r="Y860" s="58">
        <f t="shared" si="209"/>
        <v>0</v>
      </c>
      <c r="AA860" s="62" t="str">
        <f t="shared" si="220"/>
        <v/>
      </c>
    </row>
    <row r="861" spans="3:27">
      <c r="C861" s="82"/>
      <c r="E861" s="30" t="str">
        <f t="shared" si="217"/>
        <v>00:00:00</v>
      </c>
      <c r="F861" s="36" t="str">
        <f t="shared" si="210"/>
        <v/>
      </c>
      <c r="G861" s="36">
        <f t="shared" si="211"/>
        <v>0</v>
      </c>
      <c r="H861" s="3" t="str">
        <f t="shared" si="212"/>
        <v/>
      </c>
      <c r="I861" s="3">
        <f t="shared" si="213"/>
        <v>0</v>
      </c>
      <c r="L861" s="35">
        <f t="shared" si="221"/>
        <v>1</v>
      </c>
      <c r="O861" s="27">
        <f t="shared" si="214"/>
        <v>0</v>
      </c>
      <c r="P861" s="3">
        <v>859</v>
      </c>
      <c r="Q861" s="3" t="e">
        <f t="shared" si="218"/>
        <v>#N/A</v>
      </c>
      <c r="R861" s="3" t="e">
        <f t="shared" si="219"/>
        <v>#N/A</v>
      </c>
      <c r="T861" s="46" t="str">
        <f t="shared" si="215"/>
        <v/>
      </c>
      <c r="U861" s="48" t="str">
        <f t="shared" si="216"/>
        <v/>
      </c>
      <c r="W861" s="56">
        <f t="shared" si="207"/>
        <v>0</v>
      </c>
      <c r="X861" s="57" t="str">
        <f t="shared" si="208"/>
        <v/>
      </c>
      <c r="Y861" s="58">
        <f t="shared" si="209"/>
        <v>0</v>
      </c>
      <c r="AA861" s="62" t="str">
        <f t="shared" si="220"/>
        <v/>
      </c>
    </row>
    <row r="862" spans="3:27">
      <c r="C862" s="82"/>
      <c r="E862" s="30" t="str">
        <f t="shared" si="217"/>
        <v>00:00:00</v>
      </c>
      <c r="F862" s="36" t="str">
        <f t="shared" si="210"/>
        <v/>
      </c>
      <c r="G862" s="36">
        <f t="shared" si="211"/>
        <v>0</v>
      </c>
      <c r="H862" s="3" t="str">
        <f t="shared" si="212"/>
        <v/>
      </c>
      <c r="I862" s="3">
        <f t="shared" si="213"/>
        <v>0</v>
      </c>
      <c r="L862" s="35">
        <f t="shared" si="221"/>
        <v>1</v>
      </c>
      <c r="O862" s="27">
        <f t="shared" si="214"/>
        <v>0</v>
      </c>
      <c r="P862" s="3">
        <v>860</v>
      </c>
      <c r="Q862" s="3" t="e">
        <f t="shared" si="218"/>
        <v>#N/A</v>
      </c>
      <c r="R862" s="3" t="e">
        <f t="shared" si="219"/>
        <v>#N/A</v>
      </c>
      <c r="T862" s="46" t="str">
        <f t="shared" si="215"/>
        <v/>
      </c>
      <c r="U862" s="48" t="str">
        <f t="shared" si="216"/>
        <v/>
      </c>
      <c r="W862" s="56">
        <f t="shared" si="207"/>
        <v>0</v>
      </c>
      <c r="X862" s="57" t="str">
        <f t="shared" si="208"/>
        <v/>
      </c>
      <c r="Y862" s="58">
        <f t="shared" si="209"/>
        <v>0</v>
      </c>
      <c r="AA862" s="62" t="str">
        <f t="shared" si="220"/>
        <v/>
      </c>
    </row>
    <row r="863" spans="3:27">
      <c r="C863" s="82"/>
      <c r="E863" s="30" t="str">
        <f t="shared" si="217"/>
        <v>00:00:00</v>
      </c>
      <c r="F863" s="36" t="str">
        <f t="shared" si="210"/>
        <v/>
      </c>
      <c r="G863" s="36">
        <f t="shared" si="211"/>
        <v>0</v>
      </c>
      <c r="H863" s="3" t="str">
        <f t="shared" si="212"/>
        <v/>
      </c>
      <c r="I863" s="3">
        <f t="shared" si="213"/>
        <v>0</v>
      </c>
      <c r="L863" s="35">
        <f t="shared" si="221"/>
        <v>1</v>
      </c>
      <c r="O863" s="27">
        <f t="shared" si="214"/>
        <v>0</v>
      </c>
      <c r="P863" s="3">
        <v>861</v>
      </c>
      <c r="Q863" s="3" t="e">
        <f t="shared" si="218"/>
        <v>#N/A</v>
      </c>
      <c r="R863" s="3" t="e">
        <f t="shared" si="219"/>
        <v>#N/A</v>
      </c>
      <c r="T863" s="46" t="str">
        <f t="shared" si="215"/>
        <v/>
      </c>
      <c r="U863" s="48" t="str">
        <f t="shared" si="216"/>
        <v/>
      </c>
      <c r="W863" s="56">
        <f t="shared" si="207"/>
        <v>0</v>
      </c>
      <c r="X863" s="57" t="str">
        <f t="shared" si="208"/>
        <v/>
      </c>
      <c r="Y863" s="58">
        <f t="shared" si="209"/>
        <v>0</v>
      </c>
      <c r="AA863" s="62" t="str">
        <f t="shared" si="220"/>
        <v/>
      </c>
    </row>
    <row r="864" spans="3:27">
      <c r="C864" s="82"/>
      <c r="E864" s="30" t="str">
        <f t="shared" si="217"/>
        <v>00:00:00</v>
      </c>
      <c r="F864" s="36" t="str">
        <f t="shared" si="210"/>
        <v/>
      </c>
      <c r="G864" s="36">
        <f t="shared" si="211"/>
        <v>0</v>
      </c>
      <c r="H864" s="3" t="str">
        <f t="shared" si="212"/>
        <v/>
      </c>
      <c r="I864" s="3">
        <f t="shared" si="213"/>
        <v>0</v>
      </c>
      <c r="L864" s="35">
        <f t="shared" si="221"/>
        <v>1</v>
      </c>
      <c r="O864" s="27">
        <f t="shared" si="214"/>
        <v>0</v>
      </c>
      <c r="P864" s="3">
        <v>862</v>
      </c>
      <c r="Q864" s="3" t="e">
        <f t="shared" si="218"/>
        <v>#N/A</v>
      </c>
      <c r="R864" s="3" t="e">
        <f t="shared" si="219"/>
        <v>#N/A</v>
      </c>
      <c r="T864" s="46" t="str">
        <f t="shared" si="215"/>
        <v/>
      </c>
      <c r="U864" s="48" t="str">
        <f t="shared" si="216"/>
        <v/>
      </c>
      <c r="W864" s="56">
        <f t="shared" si="207"/>
        <v>0</v>
      </c>
      <c r="X864" s="57" t="str">
        <f t="shared" si="208"/>
        <v/>
      </c>
      <c r="Y864" s="58">
        <f t="shared" si="209"/>
        <v>0</v>
      </c>
      <c r="AA864" s="62" t="str">
        <f t="shared" si="220"/>
        <v/>
      </c>
    </row>
    <row r="865" spans="3:27">
      <c r="C865" s="82"/>
      <c r="E865" s="30" t="str">
        <f t="shared" si="217"/>
        <v>00:00:00</v>
      </c>
      <c r="F865" s="36" t="str">
        <f t="shared" si="210"/>
        <v/>
      </c>
      <c r="G865" s="36">
        <f t="shared" si="211"/>
        <v>0</v>
      </c>
      <c r="H865" s="3" t="str">
        <f t="shared" si="212"/>
        <v/>
      </c>
      <c r="I865" s="3">
        <f t="shared" si="213"/>
        <v>0</v>
      </c>
      <c r="L865" s="35">
        <f t="shared" si="221"/>
        <v>1</v>
      </c>
      <c r="O865" s="27">
        <f t="shared" si="214"/>
        <v>0</v>
      </c>
      <c r="P865" s="3">
        <v>863</v>
      </c>
      <c r="Q865" s="3" t="e">
        <f t="shared" si="218"/>
        <v>#N/A</v>
      </c>
      <c r="R865" s="3" t="e">
        <f t="shared" si="219"/>
        <v>#N/A</v>
      </c>
      <c r="T865" s="46" t="str">
        <f t="shared" si="215"/>
        <v/>
      </c>
      <c r="U865" s="48" t="str">
        <f t="shared" si="216"/>
        <v/>
      </c>
      <c r="W865" s="56">
        <f t="shared" si="207"/>
        <v>0</v>
      </c>
      <c r="X865" s="57" t="str">
        <f t="shared" si="208"/>
        <v/>
      </c>
      <c r="Y865" s="58">
        <f t="shared" si="209"/>
        <v>0</v>
      </c>
      <c r="AA865" s="62" t="str">
        <f t="shared" si="220"/>
        <v/>
      </c>
    </row>
    <row r="866" spans="3:27">
      <c r="C866" s="82"/>
      <c r="E866" s="30" t="str">
        <f t="shared" si="217"/>
        <v>00:00:00</v>
      </c>
      <c r="F866" s="36" t="str">
        <f t="shared" si="210"/>
        <v/>
      </c>
      <c r="G866" s="36">
        <f t="shared" si="211"/>
        <v>0</v>
      </c>
      <c r="H866" s="3" t="str">
        <f t="shared" si="212"/>
        <v/>
      </c>
      <c r="I866" s="3">
        <f t="shared" si="213"/>
        <v>0</v>
      </c>
      <c r="L866" s="35">
        <f t="shared" si="221"/>
        <v>1</v>
      </c>
      <c r="O866" s="27">
        <f t="shared" si="214"/>
        <v>0</v>
      </c>
      <c r="P866" s="3">
        <v>864</v>
      </c>
      <c r="Q866" s="3" t="e">
        <f t="shared" si="218"/>
        <v>#N/A</v>
      </c>
      <c r="R866" s="3" t="e">
        <f t="shared" si="219"/>
        <v>#N/A</v>
      </c>
      <c r="T866" s="46" t="str">
        <f t="shared" si="215"/>
        <v/>
      </c>
      <c r="U866" s="48" t="str">
        <f t="shared" si="216"/>
        <v/>
      </c>
      <c r="W866" s="56">
        <f t="shared" si="207"/>
        <v>0</v>
      </c>
      <c r="X866" s="57" t="str">
        <f t="shared" si="208"/>
        <v/>
      </c>
      <c r="Y866" s="58">
        <f t="shared" si="209"/>
        <v>0</v>
      </c>
      <c r="AA866" s="62" t="str">
        <f t="shared" si="220"/>
        <v/>
      </c>
    </row>
    <row r="867" spans="3:27">
      <c r="C867" s="82"/>
      <c r="E867" s="30" t="str">
        <f t="shared" si="217"/>
        <v>00:00:00</v>
      </c>
      <c r="F867" s="36" t="str">
        <f t="shared" si="210"/>
        <v/>
      </c>
      <c r="G867" s="36">
        <f t="shared" si="211"/>
        <v>0</v>
      </c>
      <c r="H867" s="3" t="str">
        <f t="shared" si="212"/>
        <v/>
      </c>
      <c r="I867" s="3">
        <f t="shared" si="213"/>
        <v>0</v>
      </c>
      <c r="L867" s="35">
        <f t="shared" si="221"/>
        <v>1</v>
      </c>
      <c r="O867" s="27">
        <f t="shared" si="214"/>
        <v>0</v>
      </c>
      <c r="P867" s="3">
        <v>865</v>
      </c>
      <c r="Q867" s="3" t="e">
        <f t="shared" si="218"/>
        <v>#N/A</v>
      </c>
      <c r="R867" s="3" t="e">
        <f t="shared" si="219"/>
        <v>#N/A</v>
      </c>
      <c r="T867" s="46" t="str">
        <f t="shared" si="215"/>
        <v/>
      </c>
      <c r="U867" s="48" t="str">
        <f t="shared" si="216"/>
        <v/>
      </c>
      <c r="W867" s="56">
        <f t="shared" si="207"/>
        <v>0</v>
      </c>
      <c r="X867" s="57" t="str">
        <f t="shared" si="208"/>
        <v/>
      </c>
      <c r="Y867" s="58">
        <f t="shared" si="209"/>
        <v>0</v>
      </c>
      <c r="AA867" s="62" t="str">
        <f t="shared" si="220"/>
        <v/>
      </c>
    </row>
    <row r="868" spans="3:27">
      <c r="C868" s="82"/>
      <c r="E868" s="30" t="str">
        <f t="shared" si="217"/>
        <v>00:00:00</v>
      </c>
      <c r="F868" s="36" t="str">
        <f t="shared" si="210"/>
        <v/>
      </c>
      <c r="G868" s="36">
        <f t="shared" si="211"/>
        <v>0</v>
      </c>
      <c r="H868" s="3" t="str">
        <f t="shared" si="212"/>
        <v/>
      </c>
      <c r="I868" s="3">
        <f t="shared" si="213"/>
        <v>0</v>
      </c>
      <c r="L868" s="35">
        <f t="shared" si="221"/>
        <v>1</v>
      </c>
      <c r="O868" s="27">
        <f t="shared" si="214"/>
        <v>0</v>
      </c>
      <c r="P868" s="3">
        <v>866</v>
      </c>
      <c r="Q868" s="3" t="e">
        <f t="shared" si="218"/>
        <v>#N/A</v>
      </c>
      <c r="R868" s="3" t="e">
        <f t="shared" si="219"/>
        <v>#N/A</v>
      </c>
      <c r="T868" s="46" t="str">
        <f t="shared" si="215"/>
        <v/>
      </c>
      <c r="U868" s="48" t="str">
        <f t="shared" si="216"/>
        <v/>
      </c>
      <c r="W868" s="56">
        <f t="shared" si="207"/>
        <v>0</v>
      </c>
      <c r="X868" s="57" t="str">
        <f t="shared" si="208"/>
        <v/>
      </c>
      <c r="Y868" s="58">
        <f t="shared" si="209"/>
        <v>0</v>
      </c>
      <c r="AA868" s="62" t="str">
        <f t="shared" si="220"/>
        <v/>
      </c>
    </row>
    <row r="869" spans="3:27">
      <c r="C869" s="82"/>
      <c r="E869" s="30" t="str">
        <f t="shared" si="217"/>
        <v>00:00:00</v>
      </c>
      <c r="F869" s="36" t="str">
        <f t="shared" si="210"/>
        <v/>
      </c>
      <c r="G869" s="36">
        <f t="shared" si="211"/>
        <v>0</v>
      </c>
      <c r="H869" s="3" t="str">
        <f t="shared" si="212"/>
        <v/>
      </c>
      <c r="I869" s="3">
        <f t="shared" si="213"/>
        <v>0</v>
      </c>
      <c r="L869" s="35">
        <f t="shared" si="221"/>
        <v>1</v>
      </c>
      <c r="O869" s="27">
        <f t="shared" si="214"/>
        <v>0</v>
      </c>
      <c r="P869" s="3">
        <v>867</v>
      </c>
      <c r="Q869" s="3" t="e">
        <f t="shared" si="218"/>
        <v>#N/A</v>
      </c>
      <c r="R869" s="3" t="e">
        <f t="shared" si="219"/>
        <v>#N/A</v>
      </c>
      <c r="T869" s="46" t="str">
        <f t="shared" si="215"/>
        <v/>
      </c>
      <c r="U869" s="48" t="str">
        <f t="shared" si="216"/>
        <v/>
      </c>
      <c r="W869" s="56">
        <f t="shared" si="207"/>
        <v>0</v>
      </c>
      <c r="X869" s="57" t="str">
        <f t="shared" si="208"/>
        <v/>
      </c>
      <c r="Y869" s="58">
        <f t="shared" si="209"/>
        <v>0</v>
      </c>
      <c r="AA869" s="62" t="str">
        <f t="shared" si="220"/>
        <v/>
      </c>
    </row>
    <row r="870" spans="3:27">
      <c r="C870" s="82"/>
      <c r="E870" s="30" t="str">
        <f t="shared" si="217"/>
        <v>00:00:00</v>
      </c>
      <c r="F870" s="36" t="str">
        <f t="shared" si="210"/>
        <v/>
      </c>
      <c r="G870" s="36">
        <f t="shared" si="211"/>
        <v>0</v>
      </c>
      <c r="H870" s="3" t="str">
        <f t="shared" si="212"/>
        <v/>
      </c>
      <c r="I870" s="3">
        <f t="shared" si="213"/>
        <v>0</v>
      </c>
      <c r="L870" s="35">
        <f t="shared" si="221"/>
        <v>1</v>
      </c>
      <c r="O870" s="27">
        <f t="shared" si="214"/>
        <v>0</v>
      </c>
      <c r="P870" s="3">
        <v>868</v>
      </c>
      <c r="Q870" s="3" t="e">
        <f t="shared" si="218"/>
        <v>#N/A</v>
      </c>
      <c r="R870" s="3" t="e">
        <f t="shared" si="219"/>
        <v>#N/A</v>
      </c>
      <c r="T870" s="46" t="str">
        <f t="shared" si="215"/>
        <v/>
      </c>
      <c r="U870" s="48" t="str">
        <f t="shared" si="216"/>
        <v/>
      </c>
      <c r="W870" s="56">
        <f t="shared" si="207"/>
        <v>0</v>
      </c>
      <c r="X870" s="57" t="str">
        <f t="shared" si="208"/>
        <v/>
      </c>
      <c r="Y870" s="58">
        <f t="shared" si="209"/>
        <v>0</v>
      </c>
      <c r="AA870" s="62" t="str">
        <f t="shared" si="220"/>
        <v/>
      </c>
    </row>
    <row r="871" spans="3:27">
      <c r="C871" s="82"/>
      <c r="E871" s="30" t="str">
        <f t="shared" si="217"/>
        <v>00:00:00</v>
      </c>
      <c r="F871" s="36" t="str">
        <f t="shared" si="210"/>
        <v/>
      </c>
      <c r="G871" s="36">
        <f t="shared" si="211"/>
        <v>0</v>
      </c>
      <c r="H871" s="3" t="str">
        <f t="shared" si="212"/>
        <v/>
      </c>
      <c r="I871" s="3">
        <f t="shared" si="213"/>
        <v>0</v>
      </c>
      <c r="L871" s="35">
        <f t="shared" si="221"/>
        <v>1</v>
      </c>
      <c r="O871" s="27">
        <f t="shared" si="214"/>
        <v>0</v>
      </c>
      <c r="P871" s="3">
        <v>869</v>
      </c>
      <c r="Q871" s="3" t="e">
        <f t="shared" si="218"/>
        <v>#N/A</v>
      </c>
      <c r="R871" s="3" t="e">
        <f t="shared" si="219"/>
        <v>#N/A</v>
      </c>
      <c r="T871" s="46" t="str">
        <f t="shared" si="215"/>
        <v/>
      </c>
      <c r="U871" s="48" t="str">
        <f t="shared" si="216"/>
        <v/>
      </c>
      <c r="W871" s="56">
        <f t="shared" si="207"/>
        <v>0</v>
      </c>
      <c r="X871" s="57" t="str">
        <f t="shared" si="208"/>
        <v/>
      </c>
      <c r="Y871" s="58">
        <f t="shared" si="209"/>
        <v>0</v>
      </c>
      <c r="AA871" s="62" t="str">
        <f t="shared" si="220"/>
        <v/>
      </c>
    </row>
    <row r="872" spans="3:27">
      <c r="C872" s="82"/>
      <c r="E872" s="30" t="str">
        <f t="shared" si="217"/>
        <v>00:00:00</v>
      </c>
      <c r="F872" s="36" t="str">
        <f t="shared" si="210"/>
        <v/>
      </c>
      <c r="G872" s="36">
        <f t="shared" si="211"/>
        <v>0</v>
      </c>
      <c r="H872" s="3" t="str">
        <f t="shared" si="212"/>
        <v/>
      </c>
      <c r="I872" s="3">
        <f t="shared" si="213"/>
        <v>0</v>
      </c>
      <c r="L872" s="35">
        <f t="shared" si="221"/>
        <v>1</v>
      </c>
      <c r="O872" s="27">
        <f t="shared" si="214"/>
        <v>0</v>
      </c>
      <c r="P872" s="3">
        <v>870</v>
      </c>
      <c r="Q872" s="3" t="e">
        <f t="shared" si="218"/>
        <v>#N/A</v>
      </c>
      <c r="R872" s="3" t="e">
        <f t="shared" si="219"/>
        <v>#N/A</v>
      </c>
      <c r="T872" s="46" t="str">
        <f t="shared" si="215"/>
        <v/>
      </c>
      <c r="U872" s="48" t="str">
        <f t="shared" si="216"/>
        <v/>
      </c>
      <c r="W872" s="56">
        <f t="shared" si="207"/>
        <v>0</v>
      </c>
      <c r="X872" s="57" t="str">
        <f t="shared" si="208"/>
        <v/>
      </c>
      <c r="Y872" s="58">
        <f t="shared" si="209"/>
        <v>0</v>
      </c>
      <c r="AA872" s="62" t="str">
        <f t="shared" si="220"/>
        <v/>
      </c>
    </row>
    <row r="873" spans="3:27">
      <c r="C873" s="82"/>
      <c r="E873" s="30" t="str">
        <f t="shared" si="217"/>
        <v>00:00:00</v>
      </c>
      <c r="F873" s="36" t="str">
        <f t="shared" si="210"/>
        <v/>
      </c>
      <c r="G873" s="36">
        <f t="shared" si="211"/>
        <v>0</v>
      </c>
      <c r="H873" s="3" t="str">
        <f t="shared" si="212"/>
        <v/>
      </c>
      <c r="I873" s="3">
        <f t="shared" si="213"/>
        <v>0</v>
      </c>
      <c r="L873" s="35">
        <f t="shared" si="221"/>
        <v>1</v>
      </c>
      <c r="O873" s="27">
        <f t="shared" si="214"/>
        <v>0</v>
      </c>
      <c r="P873" s="3">
        <v>871</v>
      </c>
      <c r="Q873" s="3" t="e">
        <f t="shared" si="218"/>
        <v>#N/A</v>
      </c>
      <c r="R873" s="3" t="e">
        <f t="shared" si="219"/>
        <v>#N/A</v>
      </c>
      <c r="T873" s="46" t="str">
        <f t="shared" si="215"/>
        <v/>
      </c>
      <c r="U873" s="48" t="str">
        <f t="shared" si="216"/>
        <v/>
      </c>
      <c r="W873" s="56">
        <f t="shared" si="207"/>
        <v>0</v>
      </c>
      <c r="X873" s="57" t="str">
        <f t="shared" si="208"/>
        <v/>
      </c>
      <c r="Y873" s="58">
        <f t="shared" si="209"/>
        <v>0</v>
      </c>
      <c r="AA873" s="62" t="str">
        <f t="shared" si="220"/>
        <v/>
      </c>
    </row>
    <row r="874" spans="3:27">
      <c r="C874" s="82"/>
      <c r="E874" s="30" t="str">
        <f t="shared" si="217"/>
        <v>00:00:00</v>
      </c>
      <c r="F874" s="36" t="str">
        <f t="shared" si="210"/>
        <v/>
      </c>
      <c r="G874" s="36">
        <f t="shared" si="211"/>
        <v>0</v>
      </c>
      <c r="H874" s="3" t="str">
        <f t="shared" si="212"/>
        <v/>
      </c>
      <c r="I874" s="3">
        <f t="shared" si="213"/>
        <v>0</v>
      </c>
      <c r="L874" s="35">
        <f t="shared" si="221"/>
        <v>1</v>
      </c>
      <c r="O874" s="27">
        <f t="shared" si="214"/>
        <v>0</v>
      </c>
      <c r="P874" s="3">
        <v>872</v>
      </c>
      <c r="Q874" s="3" t="e">
        <f t="shared" si="218"/>
        <v>#N/A</v>
      </c>
      <c r="R874" s="3" t="e">
        <f t="shared" si="219"/>
        <v>#N/A</v>
      </c>
      <c r="T874" s="46" t="str">
        <f t="shared" si="215"/>
        <v/>
      </c>
      <c r="U874" s="48" t="str">
        <f t="shared" si="216"/>
        <v/>
      </c>
      <c r="W874" s="56">
        <f t="shared" si="207"/>
        <v>0</v>
      </c>
      <c r="X874" s="57" t="str">
        <f t="shared" si="208"/>
        <v/>
      </c>
      <c r="Y874" s="58">
        <f t="shared" si="209"/>
        <v>0</v>
      </c>
      <c r="AA874" s="62" t="str">
        <f t="shared" si="220"/>
        <v/>
      </c>
    </row>
    <row r="875" spans="3:27">
      <c r="C875" s="82"/>
      <c r="E875" s="30" t="str">
        <f t="shared" si="217"/>
        <v>00:00:00</v>
      </c>
      <c r="F875" s="36" t="str">
        <f t="shared" si="210"/>
        <v/>
      </c>
      <c r="G875" s="36">
        <f t="shared" si="211"/>
        <v>0</v>
      </c>
      <c r="H875" s="3" t="str">
        <f t="shared" si="212"/>
        <v/>
      </c>
      <c r="I875" s="3">
        <f t="shared" si="213"/>
        <v>0</v>
      </c>
      <c r="L875" s="35">
        <f t="shared" si="221"/>
        <v>1</v>
      </c>
      <c r="O875" s="27">
        <f t="shared" si="214"/>
        <v>0</v>
      </c>
      <c r="P875" s="3">
        <v>873</v>
      </c>
      <c r="Q875" s="3" t="e">
        <f t="shared" si="218"/>
        <v>#N/A</v>
      </c>
      <c r="R875" s="3" t="e">
        <f t="shared" si="219"/>
        <v>#N/A</v>
      </c>
      <c r="T875" s="46" t="str">
        <f t="shared" si="215"/>
        <v/>
      </c>
      <c r="U875" s="48" t="str">
        <f t="shared" si="216"/>
        <v/>
      </c>
      <c r="W875" s="56">
        <f t="shared" si="207"/>
        <v>0</v>
      </c>
      <c r="X875" s="57" t="str">
        <f t="shared" si="208"/>
        <v/>
      </c>
      <c r="Y875" s="58">
        <f t="shared" si="209"/>
        <v>0</v>
      </c>
      <c r="AA875" s="62" t="str">
        <f t="shared" si="220"/>
        <v/>
      </c>
    </row>
    <row r="876" spans="3:27">
      <c r="C876" s="82"/>
      <c r="E876" s="30" t="str">
        <f t="shared" si="217"/>
        <v>00:00:00</v>
      </c>
      <c r="F876" s="36" t="str">
        <f t="shared" si="210"/>
        <v/>
      </c>
      <c r="G876" s="36">
        <f t="shared" si="211"/>
        <v>0</v>
      </c>
      <c r="H876" s="3" t="str">
        <f t="shared" si="212"/>
        <v/>
      </c>
      <c r="I876" s="3">
        <f t="shared" si="213"/>
        <v>0</v>
      </c>
      <c r="L876" s="35">
        <f t="shared" si="221"/>
        <v>1</v>
      </c>
      <c r="O876" s="27">
        <f t="shared" si="214"/>
        <v>0</v>
      </c>
      <c r="P876" s="3">
        <v>874</v>
      </c>
      <c r="Q876" s="3" t="e">
        <f t="shared" si="218"/>
        <v>#N/A</v>
      </c>
      <c r="R876" s="3" t="e">
        <f t="shared" si="219"/>
        <v>#N/A</v>
      </c>
      <c r="T876" s="46" t="str">
        <f t="shared" si="215"/>
        <v/>
      </c>
      <c r="U876" s="48" t="str">
        <f t="shared" si="216"/>
        <v/>
      </c>
      <c r="W876" s="56">
        <f t="shared" si="207"/>
        <v>0</v>
      </c>
      <c r="X876" s="57" t="str">
        <f t="shared" si="208"/>
        <v/>
      </c>
      <c r="Y876" s="58">
        <f t="shared" si="209"/>
        <v>0</v>
      </c>
      <c r="AA876" s="62" t="str">
        <f t="shared" si="220"/>
        <v/>
      </c>
    </row>
    <row r="877" spans="3:27">
      <c r="C877" s="82"/>
      <c r="E877" s="30" t="str">
        <f t="shared" si="217"/>
        <v>00:00:00</v>
      </c>
      <c r="F877" s="36" t="str">
        <f t="shared" si="210"/>
        <v/>
      </c>
      <c r="G877" s="36">
        <f t="shared" si="211"/>
        <v>0</v>
      </c>
      <c r="H877" s="3" t="str">
        <f t="shared" si="212"/>
        <v/>
      </c>
      <c r="I877" s="3">
        <f t="shared" si="213"/>
        <v>0</v>
      </c>
      <c r="L877" s="35">
        <f t="shared" si="221"/>
        <v>1</v>
      </c>
      <c r="O877" s="27">
        <f t="shared" si="214"/>
        <v>0</v>
      </c>
      <c r="P877" s="3">
        <v>875</v>
      </c>
      <c r="Q877" s="3" t="e">
        <f t="shared" si="218"/>
        <v>#N/A</v>
      </c>
      <c r="R877" s="3" t="e">
        <f t="shared" si="219"/>
        <v>#N/A</v>
      </c>
      <c r="T877" s="46" t="str">
        <f t="shared" si="215"/>
        <v/>
      </c>
      <c r="U877" s="48" t="str">
        <f t="shared" si="216"/>
        <v/>
      </c>
      <c r="W877" s="56">
        <f t="shared" si="207"/>
        <v>0</v>
      </c>
      <c r="X877" s="57" t="str">
        <f t="shared" si="208"/>
        <v/>
      </c>
      <c r="Y877" s="58">
        <f t="shared" si="209"/>
        <v>0</v>
      </c>
      <c r="AA877" s="62" t="str">
        <f t="shared" si="220"/>
        <v/>
      </c>
    </row>
    <row r="878" spans="3:27">
      <c r="C878" s="82"/>
      <c r="E878" s="30" t="str">
        <f t="shared" si="217"/>
        <v>00:00:00</v>
      </c>
      <c r="F878" s="36" t="str">
        <f t="shared" si="210"/>
        <v/>
      </c>
      <c r="G878" s="36">
        <f t="shared" si="211"/>
        <v>0</v>
      </c>
      <c r="H878" s="3" t="str">
        <f t="shared" si="212"/>
        <v/>
      </c>
      <c r="I878" s="3">
        <f t="shared" si="213"/>
        <v>0</v>
      </c>
      <c r="L878" s="35">
        <f t="shared" si="221"/>
        <v>1</v>
      </c>
      <c r="O878" s="27">
        <f t="shared" si="214"/>
        <v>0</v>
      </c>
      <c r="P878" s="3">
        <v>876</v>
      </c>
      <c r="Q878" s="3" t="e">
        <f t="shared" si="218"/>
        <v>#N/A</v>
      </c>
      <c r="R878" s="3" t="e">
        <f t="shared" si="219"/>
        <v>#N/A</v>
      </c>
      <c r="T878" s="46" t="str">
        <f t="shared" si="215"/>
        <v/>
      </c>
      <c r="U878" s="48" t="str">
        <f t="shared" si="216"/>
        <v/>
      </c>
      <c r="W878" s="56">
        <f t="shared" si="207"/>
        <v>0</v>
      </c>
      <c r="X878" s="57" t="str">
        <f t="shared" si="208"/>
        <v/>
      </c>
      <c r="Y878" s="58">
        <f t="shared" si="209"/>
        <v>0</v>
      </c>
      <c r="AA878" s="62" t="str">
        <f t="shared" si="220"/>
        <v/>
      </c>
    </row>
    <row r="879" spans="3:27">
      <c r="C879" s="82"/>
      <c r="E879" s="30" t="str">
        <f t="shared" si="217"/>
        <v>00:00:00</v>
      </c>
      <c r="F879" s="36" t="str">
        <f t="shared" si="210"/>
        <v/>
      </c>
      <c r="G879" s="36">
        <f t="shared" si="211"/>
        <v>0</v>
      </c>
      <c r="H879" s="3" t="str">
        <f t="shared" si="212"/>
        <v/>
      </c>
      <c r="I879" s="3">
        <f t="shared" si="213"/>
        <v>0</v>
      </c>
      <c r="L879" s="35">
        <f t="shared" si="221"/>
        <v>1</v>
      </c>
      <c r="O879" s="27">
        <f t="shared" si="214"/>
        <v>0</v>
      </c>
      <c r="P879" s="3">
        <v>877</v>
      </c>
      <c r="Q879" s="3" t="e">
        <f t="shared" si="218"/>
        <v>#N/A</v>
      </c>
      <c r="R879" s="3" t="e">
        <f t="shared" si="219"/>
        <v>#N/A</v>
      </c>
      <c r="T879" s="46" t="str">
        <f t="shared" si="215"/>
        <v/>
      </c>
      <c r="U879" s="48" t="str">
        <f t="shared" si="216"/>
        <v/>
      </c>
      <c r="W879" s="56">
        <f t="shared" si="207"/>
        <v>0</v>
      </c>
      <c r="X879" s="57" t="str">
        <f t="shared" si="208"/>
        <v/>
      </c>
      <c r="Y879" s="58">
        <f t="shared" si="209"/>
        <v>0</v>
      </c>
      <c r="AA879" s="62" t="str">
        <f t="shared" si="220"/>
        <v/>
      </c>
    </row>
    <row r="880" spans="3:27">
      <c r="C880" s="82"/>
      <c r="E880" s="30" t="str">
        <f t="shared" si="217"/>
        <v>00:00:00</v>
      </c>
      <c r="F880" s="36" t="str">
        <f t="shared" si="210"/>
        <v/>
      </c>
      <c r="G880" s="36">
        <f t="shared" si="211"/>
        <v>0</v>
      </c>
      <c r="H880" s="3" t="str">
        <f t="shared" si="212"/>
        <v/>
      </c>
      <c r="I880" s="3">
        <f t="shared" si="213"/>
        <v>0</v>
      </c>
      <c r="L880" s="35">
        <f t="shared" si="221"/>
        <v>1</v>
      </c>
      <c r="O880" s="27">
        <f t="shared" si="214"/>
        <v>0</v>
      </c>
      <c r="P880" s="3">
        <v>878</v>
      </c>
      <c r="Q880" s="3" t="e">
        <f t="shared" si="218"/>
        <v>#N/A</v>
      </c>
      <c r="R880" s="3" t="e">
        <f t="shared" si="219"/>
        <v>#N/A</v>
      </c>
      <c r="T880" s="46" t="str">
        <f t="shared" si="215"/>
        <v/>
      </c>
      <c r="U880" s="48" t="str">
        <f t="shared" si="216"/>
        <v/>
      </c>
      <c r="W880" s="56">
        <f t="shared" si="207"/>
        <v>0</v>
      </c>
      <c r="X880" s="57" t="str">
        <f t="shared" si="208"/>
        <v/>
      </c>
      <c r="Y880" s="58">
        <f t="shared" si="209"/>
        <v>0</v>
      </c>
      <c r="AA880" s="62" t="str">
        <f t="shared" si="220"/>
        <v/>
      </c>
    </row>
    <row r="881" spans="3:27">
      <c r="C881" s="82"/>
      <c r="E881" s="30" t="str">
        <f t="shared" si="217"/>
        <v>00:00:00</v>
      </c>
      <c r="F881" s="36" t="str">
        <f t="shared" si="210"/>
        <v/>
      </c>
      <c r="G881" s="36">
        <f t="shared" si="211"/>
        <v>0</v>
      </c>
      <c r="H881" s="3" t="str">
        <f t="shared" si="212"/>
        <v/>
      </c>
      <c r="I881" s="3">
        <f t="shared" si="213"/>
        <v>0</v>
      </c>
      <c r="L881" s="35">
        <f t="shared" si="221"/>
        <v>1</v>
      </c>
      <c r="O881" s="27">
        <f t="shared" si="214"/>
        <v>0</v>
      </c>
      <c r="P881" s="3">
        <v>879</v>
      </c>
      <c r="Q881" s="3" t="e">
        <f t="shared" si="218"/>
        <v>#N/A</v>
      </c>
      <c r="R881" s="3" t="e">
        <f t="shared" si="219"/>
        <v>#N/A</v>
      </c>
      <c r="T881" s="46" t="str">
        <f t="shared" si="215"/>
        <v/>
      </c>
      <c r="U881" s="48" t="str">
        <f t="shared" si="216"/>
        <v/>
      </c>
      <c r="W881" s="56">
        <f t="shared" si="207"/>
        <v>0</v>
      </c>
      <c r="X881" s="57" t="str">
        <f t="shared" si="208"/>
        <v/>
      </c>
      <c r="Y881" s="58">
        <f t="shared" si="209"/>
        <v>0</v>
      </c>
      <c r="AA881" s="62" t="str">
        <f t="shared" si="220"/>
        <v/>
      </c>
    </row>
    <row r="882" spans="3:27">
      <c r="C882" s="82"/>
      <c r="E882" s="30" t="str">
        <f t="shared" si="217"/>
        <v>00:00:00</v>
      </c>
      <c r="F882" s="36" t="str">
        <f t="shared" si="210"/>
        <v/>
      </c>
      <c r="G882" s="36">
        <f t="shared" si="211"/>
        <v>0</v>
      </c>
      <c r="H882" s="3" t="str">
        <f t="shared" si="212"/>
        <v/>
      </c>
      <c r="I882" s="3">
        <f t="shared" si="213"/>
        <v>0</v>
      </c>
      <c r="L882" s="35">
        <f t="shared" si="221"/>
        <v>1</v>
      </c>
      <c r="O882" s="27">
        <f t="shared" si="214"/>
        <v>0</v>
      </c>
      <c r="P882" s="3">
        <v>880</v>
      </c>
      <c r="Q882" s="3" t="e">
        <f t="shared" si="218"/>
        <v>#N/A</v>
      </c>
      <c r="R882" s="3" t="e">
        <f t="shared" si="219"/>
        <v>#N/A</v>
      </c>
      <c r="T882" s="46" t="str">
        <f t="shared" si="215"/>
        <v/>
      </c>
      <c r="U882" s="48" t="str">
        <f t="shared" si="216"/>
        <v/>
      </c>
      <c r="W882" s="56">
        <f t="shared" si="207"/>
        <v>0</v>
      </c>
      <c r="X882" s="57" t="str">
        <f t="shared" si="208"/>
        <v/>
      </c>
      <c r="Y882" s="58">
        <f t="shared" si="209"/>
        <v>0</v>
      </c>
      <c r="AA882" s="62" t="str">
        <f t="shared" si="220"/>
        <v/>
      </c>
    </row>
    <row r="883" spans="3:27">
      <c r="C883" s="82"/>
      <c r="E883" s="30" t="str">
        <f t="shared" si="217"/>
        <v>00:00:00</v>
      </c>
      <c r="F883" s="36" t="str">
        <f t="shared" si="210"/>
        <v/>
      </c>
      <c r="G883" s="36">
        <f t="shared" si="211"/>
        <v>0</v>
      </c>
      <c r="H883" s="3" t="str">
        <f t="shared" si="212"/>
        <v/>
      </c>
      <c r="I883" s="3">
        <f t="shared" si="213"/>
        <v>0</v>
      </c>
      <c r="L883" s="35">
        <f t="shared" si="221"/>
        <v>1</v>
      </c>
      <c r="O883" s="27">
        <f t="shared" si="214"/>
        <v>0</v>
      </c>
      <c r="P883" s="3">
        <v>881</v>
      </c>
      <c r="Q883" s="3" t="e">
        <f t="shared" si="218"/>
        <v>#N/A</v>
      </c>
      <c r="R883" s="3" t="e">
        <f t="shared" si="219"/>
        <v>#N/A</v>
      </c>
      <c r="T883" s="46" t="str">
        <f t="shared" si="215"/>
        <v/>
      </c>
      <c r="U883" s="48" t="str">
        <f t="shared" si="216"/>
        <v/>
      </c>
      <c r="W883" s="56">
        <f t="shared" si="207"/>
        <v>0</v>
      </c>
      <c r="X883" s="57" t="str">
        <f t="shared" si="208"/>
        <v/>
      </c>
      <c r="Y883" s="58">
        <f t="shared" si="209"/>
        <v>0</v>
      </c>
      <c r="AA883" s="62" t="str">
        <f t="shared" si="220"/>
        <v/>
      </c>
    </row>
    <row r="884" spans="3:27">
      <c r="C884" s="82"/>
      <c r="E884" s="30" t="str">
        <f t="shared" si="217"/>
        <v>00:00:00</v>
      </c>
      <c r="F884" s="36" t="str">
        <f t="shared" si="210"/>
        <v/>
      </c>
      <c r="G884" s="36">
        <f t="shared" si="211"/>
        <v>0</v>
      </c>
      <c r="H884" s="3" t="str">
        <f t="shared" si="212"/>
        <v/>
      </c>
      <c r="I884" s="3">
        <f t="shared" si="213"/>
        <v>0</v>
      </c>
      <c r="L884" s="35">
        <f t="shared" si="221"/>
        <v>1</v>
      </c>
      <c r="O884" s="27">
        <f t="shared" si="214"/>
        <v>0</v>
      </c>
      <c r="P884" s="3">
        <v>882</v>
      </c>
      <c r="Q884" s="3" t="e">
        <f t="shared" si="218"/>
        <v>#N/A</v>
      </c>
      <c r="R884" s="3" t="e">
        <f t="shared" si="219"/>
        <v>#N/A</v>
      </c>
      <c r="T884" s="46" t="str">
        <f t="shared" si="215"/>
        <v/>
      </c>
      <c r="U884" s="48" t="str">
        <f t="shared" si="216"/>
        <v/>
      </c>
      <c r="W884" s="56">
        <f t="shared" si="207"/>
        <v>0</v>
      </c>
      <c r="X884" s="57" t="str">
        <f t="shared" si="208"/>
        <v/>
      </c>
      <c r="Y884" s="58">
        <f t="shared" si="209"/>
        <v>0</v>
      </c>
      <c r="AA884" s="62" t="str">
        <f t="shared" si="220"/>
        <v/>
      </c>
    </row>
    <row r="885" spans="3:27">
      <c r="C885" s="82"/>
      <c r="E885" s="30" t="str">
        <f t="shared" si="217"/>
        <v>00:00:00</v>
      </c>
      <c r="F885" s="36" t="str">
        <f t="shared" si="210"/>
        <v/>
      </c>
      <c r="G885" s="36">
        <f t="shared" si="211"/>
        <v>0</v>
      </c>
      <c r="H885" s="3" t="str">
        <f t="shared" si="212"/>
        <v/>
      </c>
      <c r="I885" s="3">
        <f t="shared" si="213"/>
        <v>0</v>
      </c>
      <c r="L885" s="35">
        <f t="shared" si="221"/>
        <v>1</v>
      </c>
      <c r="O885" s="27">
        <f t="shared" si="214"/>
        <v>0</v>
      </c>
      <c r="P885" s="3">
        <v>883</v>
      </c>
      <c r="Q885" s="3" t="e">
        <f t="shared" si="218"/>
        <v>#N/A</v>
      </c>
      <c r="R885" s="3" t="e">
        <f t="shared" si="219"/>
        <v>#N/A</v>
      </c>
      <c r="T885" s="46" t="str">
        <f t="shared" si="215"/>
        <v/>
      </c>
      <c r="U885" s="48" t="str">
        <f t="shared" si="216"/>
        <v/>
      </c>
      <c r="W885" s="56">
        <f t="shared" si="207"/>
        <v>0</v>
      </c>
      <c r="X885" s="57" t="str">
        <f t="shared" si="208"/>
        <v/>
      </c>
      <c r="Y885" s="58">
        <f t="shared" si="209"/>
        <v>0</v>
      </c>
      <c r="AA885" s="62" t="str">
        <f t="shared" si="220"/>
        <v/>
      </c>
    </row>
    <row r="886" spans="3:27">
      <c r="C886" s="82"/>
      <c r="E886" s="30" t="str">
        <f t="shared" si="217"/>
        <v>00:00:00</v>
      </c>
      <c r="F886" s="36" t="str">
        <f t="shared" si="210"/>
        <v/>
      </c>
      <c r="G886" s="36">
        <f t="shared" si="211"/>
        <v>0</v>
      </c>
      <c r="H886" s="3" t="str">
        <f t="shared" si="212"/>
        <v/>
      </c>
      <c r="I886" s="3">
        <f t="shared" si="213"/>
        <v>0</v>
      </c>
      <c r="L886" s="35">
        <f t="shared" si="221"/>
        <v>1</v>
      </c>
      <c r="O886" s="27">
        <f t="shared" si="214"/>
        <v>0</v>
      </c>
      <c r="P886" s="3">
        <v>884</v>
      </c>
      <c r="Q886" s="3" t="e">
        <f t="shared" si="218"/>
        <v>#N/A</v>
      </c>
      <c r="R886" s="3" t="e">
        <f t="shared" si="219"/>
        <v>#N/A</v>
      </c>
      <c r="T886" s="46" t="str">
        <f t="shared" si="215"/>
        <v/>
      </c>
      <c r="U886" s="48" t="str">
        <f t="shared" si="216"/>
        <v/>
      </c>
      <c r="W886" s="56">
        <f t="shared" si="207"/>
        <v>0</v>
      </c>
      <c r="X886" s="57" t="str">
        <f t="shared" si="208"/>
        <v/>
      </c>
      <c r="Y886" s="58">
        <f t="shared" si="209"/>
        <v>0</v>
      </c>
      <c r="AA886" s="62" t="str">
        <f t="shared" si="220"/>
        <v/>
      </c>
    </row>
    <row r="887" spans="3:27">
      <c r="C887" s="82"/>
      <c r="E887" s="30" t="str">
        <f t="shared" si="217"/>
        <v>00:00:00</v>
      </c>
      <c r="F887" s="36" t="str">
        <f t="shared" si="210"/>
        <v/>
      </c>
      <c r="G887" s="36">
        <f t="shared" si="211"/>
        <v>0</v>
      </c>
      <c r="H887" s="3" t="str">
        <f t="shared" si="212"/>
        <v/>
      </c>
      <c r="I887" s="3">
        <f t="shared" si="213"/>
        <v>0</v>
      </c>
      <c r="L887" s="35">
        <f t="shared" si="221"/>
        <v>1</v>
      </c>
      <c r="O887" s="27">
        <f t="shared" si="214"/>
        <v>0</v>
      </c>
      <c r="P887" s="3">
        <v>885</v>
      </c>
      <c r="Q887" s="3" t="e">
        <f t="shared" si="218"/>
        <v>#N/A</v>
      </c>
      <c r="R887" s="3" t="e">
        <f t="shared" si="219"/>
        <v>#N/A</v>
      </c>
      <c r="T887" s="46" t="str">
        <f t="shared" si="215"/>
        <v/>
      </c>
      <c r="U887" s="48" t="str">
        <f t="shared" si="216"/>
        <v/>
      </c>
      <c r="W887" s="56">
        <f t="shared" si="207"/>
        <v>0</v>
      </c>
      <c r="X887" s="57" t="str">
        <f t="shared" si="208"/>
        <v/>
      </c>
      <c r="Y887" s="58">
        <f t="shared" si="209"/>
        <v>0</v>
      </c>
      <c r="AA887" s="62" t="str">
        <f t="shared" si="220"/>
        <v/>
      </c>
    </row>
    <row r="888" spans="3:27">
      <c r="C888" s="82"/>
      <c r="E888" s="30" t="str">
        <f t="shared" si="217"/>
        <v>00:00:00</v>
      </c>
      <c r="F888" s="36" t="str">
        <f t="shared" si="210"/>
        <v/>
      </c>
      <c r="G888" s="36">
        <f t="shared" si="211"/>
        <v>0</v>
      </c>
      <c r="H888" s="3" t="str">
        <f t="shared" si="212"/>
        <v/>
      </c>
      <c r="I888" s="3">
        <f t="shared" si="213"/>
        <v>0</v>
      </c>
      <c r="L888" s="35">
        <f t="shared" si="221"/>
        <v>1</v>
      </c>
      <c r="O888" s="27">
        <f t="shared" si="214"/>
        <v>0</v>
      </c>
      <c r="P888" s="3">
        <v>886</v>
      </c>
      <c r="Q888" s="3" t="e">
        <f t="shared" si="218"/>
        <v>#N/A</v>
      </c>
      <c r="R888" s="3" t="e">
        <f t="shared" si="219"/>
        <v>#N/A</v>
      </c>
      <c r="T888" s="46" t="str">
        <f t="shared" si="215"/>
        <v/>
      </c>
      <c r="U888" s="48" t="str">
        <f t="shared" si="216"/>
        <v/>
      </c>
      <c r="W888" s="56">
        <f t="shared" si="207"/>
        <v>0</v>
      </c>
      <c r="X888" s="57" t="str">
        <f t="shared" si="208"/>
        <v/>
      </c>
      <c r="Y888" s="58">
        <f t="shared" si="209"/>
        <v>0</v>
      </c>
      <c r="AA888" s="62" t="str">
        <f t="shared" si="220"/>
        <v/>
      </c>
    </row>
    <row r="889" spans="3:27">
      <c r="C889" s="82"/>
      <c r="E889" s="30" t="str">
        <f t="shared" si="217"/>
        <v>00:00:00</v>
      </c>
      <c r="F889" s="36" t="str">
        <f t="shared" si="210"/>
        <v/>
      </c>
      <c r="G889" s="36">
        <f t="shared" si="211"/>
        <v>0</v>
      </c>
      <c r="H889" s="3" t="str">
        <f t="shared" si="212"/>
        <v/>
      </c>
      <c r="I889" s="3">
        <f t="shared" si="213"/>
        <v>0</v>
      </c>
      <c r="L889" s="35">
        <f t="shared" si="221"/>
        <v>1</v>
      </c>
      <c r="O889" s="27">
        <f t="shared" si="214"/>
        <v>0</v>
      </c>
      <c r="P889" s="3">
        <v>887</v>
      </c>
      <c r="Q889" s="3" t="e">
        <f t="shared" si="218"/>
        <v>#N/A</v>
      </c>
      <c r="R889" s="3" t="e">
        <f t="shared" si="219"/>
        <v>#N/A</v>
      </c>
      <c r="T889" s="46" t="str">
        <f t="shared" si="215"/>
        <v/>
      </c>
      <c r="U889" s="48" t="str">
        <f t="shared" si="216"/>
        <v/>
      </c>
      <c r="W889" s="56">
        <f t="shared" si="207"/>
        <v>0</v>
      </c>
      <c r="X889" s="57" t="str">
        <f t="shared" si="208"/>
        <v/>
      </c>
      <c r="Y889" s="58">
        <f t="shared" si="209"/>
        <v>0</v>
      </c>
      <c r="AA889" s="62" t="str">
        <f t="shared" si="220"/>
        <v/>
      </c>
    </row>
    <row r="890" spans="3:27">
      <c r="C890" s="82"/>
      <c r="E890" s="30" t="str">
        <f t="shared" si="217"/>
        <v>00:00:00</v>
      </c>
      <c r="F890" s="36" t="str">
        <f t="shared" si="210"/>
        <v/>
      </c>
      <c r="G890" s="36">
        <f t="shared" si="211"/>
        <v>0</v>
      </c>
      <c r="H890" s="3" t="str">
        <f t="shared" si="212"/>
        <v/>
      </c>
      <c r="I890" s="3">
        <f t="shared" si="213"/>
        <v>0</v>
      </c>
      <c r="L890" s="35">
        <f t="shared" si="221"/>
        <v>1</v>
      </c>
      <c r="O890" s="27">
        <f t="shared" si="214"/>
        <v>0</v>
      </c>
      <c r="P890" s="3">
        <v>888</v>
      </c>
      <c r="Q890" s="3" t="e">
        <f t="shared" si="218"/>
        <v>#N/A</v>
      </c>
      <c r="R890" s="3" t="e">
        <f t="shared" si="219"/>
        <v>#N/A</v>
      </c>
      <c r="T890" s="46" t="str">
        <f t="shared" si="215"/>
        <v/>
      </c>
      <c r="U890" s="48" t="str">
        <f t="shared" si="216"/>
        <v/>
      </c>
      <c r="W890" s="56">
        <f t="shared" si="207"/>
        <v>0</v>
      </c>
      <c r="X890" s="57" t="str">
        <f t="shared" si="208"/>
        <v/>
      </c>
      <c r="Y890" s="58">
        <f t="shared" si="209"/>
        <v>0</v>
      </c>
      <c r="AA890" s="62" t="str">
        <f t="shared" si="220"/>
        <v/>
      </c>
    </row>
    <row r="891" spans="3:27">
      <c r="C891" s="82"/>
      <c r="E891" s="30" t="str">
        <f t="shared" si="217"/>
        <v>00:00:00</v>
      </c>
      <c r="F891" s="36" t="str">
        <f t="shared" si="210"/>
        <v/>
      </c>
      <c r="G891" s="36">
        <f t="shared" si="211"/>
        <v>0</v>
      </c>
      <c r="H891" s="3" t="str">
        <f t="shared" si="212"/>
        <v/>
      </c>
      <c r="I891" s="3">
        <f t="shared" si="213"/>
        <v>0</v>
      </c>
      <c r="L891" s="35">
        <f t="shared" si="221"/>
        <v>1</v>
      </c>
      <c r="O891" s="27">
        <f t="shared" si="214"/>
        <v>0</v>
      </c>
      <c r="P891" s="3">
        <v>889</v>
      </c>
      <c r="Q891" s="3" t="e">
        <f t="shared" si="218"/>
        <v>#N/A</v>
      </c>
      <c r="R891" s="3" t="e">
        <f t="shared" si="219"/>
        <v>#N/A</v>
      </c>
      <c r="T891" s="46" t="str">
        <f t="shared" si="215"/>
        <v/>
      </c>
      <c r="U891" s="48" t="str">
        <f t="shared" si="216"/>
        <v/>
      </c>
      <c r="W891" s="56">
        <f t="shared" si="207"/>
        <v>0</v>
      </c>
      <c r="X891" s="57" t="str">
        <f t="shared" si="208"/>
        <v/>
      </c>
      <c r="Y891" s="58">
        <f t="shared" si="209"/>
        <v>0</v>
      </c>
      <c r="AA891" s="62" t="str">
        <f t="shared" si="220"/>
        <v/>
      </c>
    </row>
    <row r="892" spans="3:27">
      <c r="C892" s="82"/>
      <c r="E892" s="30" t="str">
        <f t="shared" si="217"/>
        <v>00:00:00</v>
      </c>
      <c r="F892" s="36" t="str">
        <f t="shared" si="210"/>
        <v/>
      </c>
      <c r="G892" s="36">
        <f t="shared" si="211"/>
        <v>0</v>
      </c>
      <c r="H892" s="3" t="str">
        <f t="shared" si="212"/>
        <v/>
      </c>
      <c r="I892" s="3">
        <f t="shared" si="213"/>
        <v>0</v>
      </c>
      <c r="L892" s="35">
        <f t="shared" si="221"/>
        <v>1</v>
      </c>
      <c r="O892" s="27">
        <f t="shared" si="214"/>
        <v>0</v>
      </c>
      <c r="P892" s="3">
        <v>890</v>
      </c>
      <c r="Q892" s="3" t="e">
        <f t="shared" si="218"/>
        <v>#N/A</v>
      </c>
      <c r="R892" s="3" t="e">
        <f t="shared" si="219"/>
        <v>#N/A</v>
      </c>
      <c r="T892" s="46" t="str">
        <f t="shared" si="215"/>
        <v/>
      </c>
      <c r="U892" s="48" t="str">
        <f t="shared" si="216"/>
        <v/>
      </c>
      <c r="W892" s="56">
        <f t="shared" si="207"/>
        <v>0</v>
      </c>
      <c r="X892" s="57" t="str">
        <f t="shared" si="208"/>
        <v/>
      </c>
      <c r="Y892" s="58">
        <f t="shared" si="209"/>
        <v>0</v>
      </c>
      <c r="AA892" s="62" t="str">
        <f t="shared" si="220"/>
        <v/>
      </c>
    </row>
    <row r="893" spans="3:27">
      <c r="C893" s="82"/>
      <c r="E893" s="30" t="str">
        <f t="shared" si="217"/>
        <v>00:00:00</v>
      </c>
      <c r="F893" s="36" t="str">
        <f t="shared" si="210"/>
        <v/>
      </c>
      <c r="G893" s="36">
        <f t="shared" si="211"/>
        <v>0</v>
      </c>
      <c r="H893" s="3" t="str">
        <f t="shared" si="212"/>
        <v/>
      </c>
      <c r="I893" s="3">
        <f t="shared" si="213"/>
        <v>0</v>
      </c>
      <c r="L893" s="35">
        <f t="shared" si="221"/>
        <v>1</v>
      </c>
      <c r="O893" s="27">
        <f t="shared" si="214"/>
        <v>0</v>
      </c>
      <c r="P893" s="3">
        <v>891</v>
      </c>
      <c r="Q893" s="3" t="e">
        <f t="shared" si="218"/>
        <v>#N/A</v>
      </c>
      <c r="R893" s="3" t="e">
        <f t="shared" si="219"/>
        <v>#N/A</v>
      </c>
      <c r="T893" s="46" t="str">
        <f t="shared" si="215"/>
        <v/>
      </c>
      <c r="U893" s="48" t="str">
        <f t="shared" si="216"/>
        <v/>
      </c>
      <c r="W893" s="56">
        <f t="shared" si="207"/>
        <v>0</v>
      </c>
      <c r="X893" s="57" t="str">
        <f t="shared" si="208"/>
        <v/>
      </c>
      <c r="Y893" s="58">
        <f t="shared" si="209"/>
        <v>0</v>
      </c>
      <c r="AA893" s="62" t="str">
        <f t="shared" si="220"/>
        <v/>
      </c>
    </row>
    <row r="894" spans="3:27">
      <c r="C894" s="82"/>
      <c r="E894" s="30" t="str">
        <f t="shared" si="217"/>
        <v>00:00:00</v>
      </c>
      <c r="F894" s="36" t="str">
        <f t="shared" si="210"/>
        <v/>
      </c>
      <c r="G894" s="36">
        <f t="shared" si="211"/>
        <v>0</v>
      </c>
      <c r="H894" s="3" t="str">
        <f t="shared" si="212"/>
        <v/>
      </c>
      <c r="I894" s="3">
        <f t="shared" si="213"/>
        <v>0</v>
      </c>
      <c r="L894" s="35">
        <f t="shared" si="221"/>
        <v>1</v>
      </c>
      <c r="O894" s="27">
        <f t="shared" si="214"/>
        <v>0</v>
      </c>
      <c r="P894" s="3">
        <v>892</v>
      </c>
      <c r="Q894" s="3" t="e">
        <f t="shared" si="218"/>
        <v>#N/A</v>
      </c>
      <c r="R894" s="3" t="e">
        <f t="shared" si="219"/>
        <v>#N/A</v>
      </c>
      <c r="T894" s="46" t="str">
        <f t="shared" si="215"/>
        <v/>
      </c>
      <c r="U894" s="48" t="str">
        <f t="shared" si="216"/>
        <v/>
      </c>
      <c r="W894" s="56">
        <f t="shared" si="207"/>
        <v>0</v>
      </c>
      <c r="X894" s="57" t="str">
        <f t="shared" si="208"/>
        <v/>
      </c>
      <c r="Y894" s="58">
        <f t="shared" si="209"/>
        <v>0</v>
      </c>
      <c r="AA894" s="62" t="str">
        <f t="shared" si="220"/>
        <v/>
      </c>
    </row>
    <row r="895" spans="3:27">
      <c r="C895" s="82"/>
      <c r="E895" s="30" t="str">
        <f t="shared" si="217"/>
        <v>00:00:00</v>
      </c>
      <c r="F895" s="36" t="str">
        <f t="shared" si="210"/>
        <v/>
      </c>
      <c r="G895" s="36">
        <f t="shared" si="211"/>
        <v>0</v>
      </c>
      <c r="H895" s="3" t="str">
        <f t="shared" si="212"/>
        <v/>
      </c>
      <c r="I895" s="3">
        <f t="shared" si="213"/>
        <v>0</v>
      </c>
      <c r="L895" s="35">
        <f t="shared" si="221"/>
        <v>1</v>
      </c>
      <c r="O895" s="27">
        <f t="shared" si="214"/>
        <v>0</v>
      </c>
      <c r="P895" s="3">
        <v>893</v>
      </c>
      <c r="Q895" s="3" t="e">
        <f t="shared" si="218"/>
        <v>#N/A</v>
      </c>
      <c r="R895" s="3" t="e">
        <f t="shared" si="219"/>
        <v>#N/A</v>
      </c>
      <c r="T895" s="46" t="str">
        <f t="shared" si="215"/>
        <v/>
      </c>
      <c r="U895" s="48" t="str">
        <f t="shared" si="216"/>
        <v/>
      </c>
      <c r="W895" s="56">
        <f t="shared" si="207"/>
        <v>0</v>
      </c>
      <c r="X895" s="57" t="str">
        <f t="shared" si="208"/>
        <v/>
      </c>
      <c r="Y895" s="58">
        <f t="shared" si="209"/>
        <v>0</v>
      </c>
      <c r="AA895" s="62" t="str">
        <f t="shared" si="220"/>
        <v/>
      </c>
    </row>
    <row r="896" spans="3:27">
      <c r="C896" s="82"/>
      <c r="E896" s="30" t="str">
        <f t="shared" si="217"/>
        <v>00:00:00</v>
      </c>
      <c r="F896" s="36" t="str">
        <f t="shared" si="210"/>
        <v/>
      </c>
      <c r="G896" s="36">
        <f t="shared" si="211"/>
        <v>0</v>
      </c>
      <c r="H896" s="3" t="str">
        <f t="shared" si="212"/>
        <v/>
      </c>
      <c r="I896" s="3">
        <f t="shared" si="213"/>
        <v>0</v>
      </c>
      <c r="L896" s="35">
        <f t="shared" si="221"/>
        <v>1</v>
      </c>
      <c r="O896" s="27">
        <f t="shared" si="214"/>
        <v>0</v>
      </c>
      <c r="P896" s="3">
        <v>894</v>
      </c>
      <c r="Q896" s="3" t="e">
        <f t="shared" si="218"/>
        <v>#N/A</v>
      </c>
      <c r="R896" s="3" t="e">
        <f t="shared" si="219"/>
        <v>#N/A</v>
      </c>
      <c r="T896" s="46" t="str">
        <f t="shared" si="215"/>
        <v/>
      </c>
      <c r="U896" s="48" t="str">
        <f t="shared" si="216"/>
        <v/>
      </c>
      <c r="W896" s="56">
        <f t="shared" si="207"/>
        <v>0</v>
      </c>
      <c r="X896" s="57" t="str">
        <f t="shared" si="208"/>
        <v/>
      </c>
      <c r="Y896" s="58">
        <f t="shared" si="209"/>
        <v>0</v>
      </c>
      <c r="AA896" s="62" t="str">
        <f t="shared" si="220"/>
        <v/>
      </c>
    </row>
    <row r="897" spans="3:27">
      <c r="C897" s="82"/>
      <c r="E897" s="30" t="str">
        <f t="shared" si="217"/>
        <v>00:00:00</v>
      </c>
      <c r="F897" s="36" t="str">
        <f t="shared" si="210"/>
        <v/>
      </c>
      <c r="G897" s="36">
        <f t="shared" si="211"/>
        <v>0</v>
      </c>
      <c r="H897" s="3" t="str">
        <f t="shared" si="212"/>
        <v/>
      </c>
      <c r="I897" s="3">
        <f t="shared" si="213"/>
        <v>0</v>
      </c>
      <c r="L897" s="35">
        <f t="shared" si="221"/>
        <v>1</v>
      </c>
      <c r="O897" s="27">
        <f t="shared" si="214"/>
        <v>0</v>
      </c>
      <c r="P897" s="3">
        <v>895</v>
      </c>
      <c r="Q897" s="3" t="e">
        <f t="shared" si="218"/>
        <v>#N/A</v>
      </c>
      <c r="R897" s="3" t="e">
        <f t="shared" si="219"/>
        <v>#N/A</v>
      </c>
      <c r="T897" s="46" t="str">
        <f t="shared" si="215"/>
        <v/>
      </c>
      <c r="U897" s="48" t="str">
        <f t="shared" si="216"/>
        <v/>
      </c>
      <c r="W897" s="56">
        <f t="shared" si="207"/>
        <v>0</v>
      </c>
      <c r="X897" s="57" t="str">
        <f t="shared" si="208"/>
        <v/>
      </c>
      <c r="Y897" s="58">
        <f t="shared" si="209"/>
        <v>0</v>
      </c>
      <c r="AA897" s="62" t="str">
        <f t="shared" si="220"/>
        <v/>
      </c>
    </row>
    <row r="898" spans="3:27">
      <c r="C898" s="82"/>
      <c r="E898" s="30" t="str">
        <f t="shared" si="217"/>
        <v>00:00:00</v>
      </c>
      <c r="F898" s="36" t="str">
        <f t="shared" si="210"/>
        <v/>
      </c>
      <c r="G898" s="36">
        <f t="shared" si="211"/>
        <v>0</v>
      </c>
      <c r="H898" s="3" t="str">
        <f t="shared" si="212"/>
        <v/>
      </c>
      <c r="I898" s="3">
        <f t="shared" si="213"/>
        <v>0</v>
      </c>
      <c r="L898" s="35">
        <f t="shared" si="221"/>
        <v>1</v>
      </c>
      <c r="O898" s="27">
        <f t="shared" si="214"/>
        <v>0</v>
      </c>
      <c r="P898" s="3">
        <v>896</v>
      </c>
      <c r="Q898" s="3" t="e">
        <f t="shared" si="218"/>
        <v>#N/A</v>
      </c>
      <c r="R898" s="3" t="e">
        <f t="shared" si="219"/>
        <v>#N/A</v>
      </c>
      <c r="T898" s="46" t="str">
        <f t="shared" si="215"/>
        <v/>
      </c>
      <c r="U898" s="48" t="str">
        <f t="shared" si="216"/>
        <v/>
      </c>
      <c r="W898" s="56">
        <f t="shared" ref="W898:W961" si="222">IF(H898&lt;&gt;H899,1,0)</f>
        <v>0</v>
      </c>
      <c r="X898" s="57" t="str">
        <f t="shared" ref="X898:X961" si="223">IF(W898=1,H898,"")</f>
        <v/>
      </c>
      <c r="Y898" s="58">
        <f t="shared" ref="Y898:Y961" si="224">D898</f>
        <v>0</v>
      </c>
      <c r="AA898" s="62" t="str">
        <f t="shared" si="220"/>
        <v/>
      </c>
    </row>
    <row r="899" spans="3:27">
      <c r="C899" s="82"/>
      <c r="E899" s="30" t="str">
        <f t="shared" si="217"/>
        <v>00:00:00</v>
      </c>
      <c r="F899" s="36" t="str">
        <f t="shared" ref="F899:F962" si="225">IF(G899=0,"",IF(G899&lt;8,1,IF(G899&lt;15,2,IF(G899&lt;22,3,4))))</f>
        <v/>
      </c>
      <c r="G899" s="36">
        <f t="shared" ref="G899:G962" si="226">DAY(B899)</f>
        <v>0</v>
      </c>
      <c r="H899" s="3" t="str">
        <f t="shared" ref="H899:H962" si="227">IF(ISNUMBER(B899),VLOOKUP(MONTH(B899),$J$2:$K$13,2,FALSE),"")</f>
        <v/>
      </c>
      <c r="I899" s="3">
        <f t="shared" ref="I899:I962" si="228">IF(A899&lt;&gt;A900,1,0)</f>
        <v>0</v>
      </c>
      <c r="L899" s="35">
        <f t="shared" si="221"/>
        <v>1</v>
      </c>
      <c r="O899" s="27">
        <f t="shared" ref="O899:O962" si="229">D899</f>
        <v>0</v>
      </c>
      <c r="P899" s="3">
        <v>897</v>
      </c>
      <c r="Q899" s="3" t="e">
        <f t="shared" si="218"/>
        <v>#N/A</v>
      </c>
      <c r="R899" s="3" t="e">
        <f t="shared" si="219"/>
        <v>#N/A</v>
      </c>
      <c r="T899" s="46" t="str">
        <f t="shared" ref="T899:T962" si="230">IFERROR(R899,"")</f>
        <v/>
      </c>
      <c r="U899" s="48" t="str">
        <f t="shared" ref="U899:U962" si="231">IFERROR(Q899,"")</f>
        <v/>
      </c>
      <c r="W899" s="56">
        <f t="shared" si="222"/>
        <v>0</v>
      </c>
      <c r="X899" s="57" t="str">
        <f t="shared" si="223"/>
        <v/>
      </c>
      <c r="Y899" s="58">
        <f t="shared" si="224"/>
        <v>0</v>
      </c>
      <c r="AA899" s="62" t="str">
        <f t="shared" si="220"/>
        <v/>
      </c>
    </row>
    <row r="900" spans="3:27">
      <c r="C900" s="82"/>
      <c r="E900" s="30" t="str">
        <f t="shared" ref="E900:E963" si="232">IF(A900&lt;&gt;A899,TEXT(C900,"hh:mm:ss"),TEXT(C900+E899,"hh:mm:ss"))</f>
        <v>00:00:00</v>
      </c>
      <c r="F900" s="36" t="str">
        <f t="shared" si="225"/>
        <v/>
      </c>
      <c r="G900" s="36">
        <f t="shared" si="226"/>
        <v>0</v>
      </c>
      <c r="H900" s="3" t="str">
        <f t="shared" si="227"/>
        <v/>
      </c>
      <c r="I900" s="3">
        <f t="shared" si="228"/>
        <v>0</v>
      </c>
      <c r="L900" s="35">
        <f t="shared" si="221"/>
        <v>1</v>
      </c>
      <c r="O900" s="27">
        <f t="shared" si="229"/>
        <v>0</v>
      </c>
      <c r="P900" s="3">
        <v>898</v>
      </c>
      <c r="Q900" s="3" t="e">
        <f t="shared" ref="Q900:Q963" si="233">VLOOKUP(P900,M:O,3,FALSE)</f>
        <v>#N/A</v>
      </c>
      <c r="R900" s="3" t="e">
        <f t="shared" ref="R900:R963" si="234">VLOOKUP(P900,M:N,2,FALSE)</f>
        <v>#N/A</v>
      </c>
      <c r="T900" s="46" t="str">
        <f t="shared" si="230"/>
        <v/>
      </c>
      <c r="U900" s="48" t="str">
        <f t="shared" si="231"/>
        <v/>
      </c>
      <c r="W900" s="56">
        <f t="shared" si="222"/>
        <v>0</v>
      </c>
      <c r="X900" s="57" t="str">
        <f t="shared" si="223"/>
        <v/>
      </c>
      <c r="Y900" s="58">
        <f t="shared" si="224"/>
        <v>0</v>
      </c>
      <c r="AA900" s="62" t="str">
        <f t="shared" ref="AA900:AA963" si="235">IFERROR(VLOOKUP(Z900,X:Y,2,FALSE),"")</f>
        <v/>
      </c>
    </row>
    <row r="901" spans="3:27">
      <c r="C901" s="82"/>
      <c r="E901" s="30" t="str">
        <f t="shared" si="232"/>
        <v>00:00:00</v>
      </c>
      <c r="F901" s="36" t="str">
        <f t="shared" si="225"/>
        <v/>
      </c>
      <c r="G901" s="36">
        <f t="shared" si="226"/>
        <v>0</v>
      </c>
      <c r="H901" s="3" t="str">
        <f t="shared" si="227"/>
        <v/>
      </c>
      <c r="I901" s="3">
        <f t="shared" si="228"/>
        <v>0</v>
      </c>
      <c r="L901" s="35">
        <f t="shared" si="221"/>
        <v>1</v>
      </c>
      <c r="O901" s="27">
        <f t="shared" si="229"/>
        <v>0</v>
      </c>
      <c r="P901" s="3">
        <v>899</v>
      </c>
      <c r="Q901" s="3" t="e">
        <f t="shared" si="233"/>
        <v>#N/A</v>
      </c>
      <c r="R901" s="3" t="e">
        <f t="shared" si="234"/>
        <v>#N/A</v>
      </c>
      <c r="T901" s="46" t="str">
        <f t="shared" si="230"/>
        <v/>
      </c>
      <c r="U901" s="48" t="str">
        <f t="shared" si="231"/>
        <v/>
      </c>
      <c r="W901" s="56">
        <f t="shared" si="222"/>
        <v>0</v>
      </c>
      <c r="X901" s="57" t="str">
        <f t="shared" si="223"/>
        <v/>
      </c>
      <c r="Y901" s="58">
        <f t="shared" si="224"/>
        <v>0</v>
      </c>
      <c r="AA901" s="62" t="str">
        <f t="shared" si="235"/>
        <v/>
      </c>
    </row>
    <row r="902" spans="3:27">
      <c r="C902" s="82"/>
      <c r="E902" s="30" t="str">
        <f t="shared" si="232"/>
        <v>00:00:00</v>
      </c>
      <c r="F902" s="36" t="str">
        <f t="shared" si="225"/>
        <v/>
      </c>
      <c r="G902" s="36">
        <f t="shared" si="226"/>
        <v>0</v>
      </c>
      <c r="H902" s="3" t="str">
        <f t="shared" si="227"/>
        <v/>
      </c>
      <c r="I902" s="3">
        <f t="shared" si="228"/>
        <v>0</v>
      </c>
      <c r="L902" s="35">
        <f t="shared" si="221"/>
        <v>1</v>
      </c>
      <c r="O902" s="27">
        <f t="shared" si="229"/>
        <v>0</v>
      </c>
      <c r="P902" s="3">
        <v>900</v>
      </c>
      <c r="Q902" s="3" t="e">
        <f t="shared" si="233"/>
        <v>#N/A</v>
      </c>
      <c r="R902" s="3" t="e">
        <f t="shared" si="234"/>
        <v>#N/A</v>
      </c>
      <c r="T902" s="46" t="str">
        <f t="shared" si="230"/>
        <v/>
      </c>
      <c r="U902" s="48" t="str">
        <f t="shared" si="231"/>
        <v/>
      </c>
      <c r="W902" s="56">
        <f t="shared" si="222"/>
        <v>0</v>
      </c>
      <c r="X902" s="57" t="str">
        <f t="shared" si="223"/>
        <v/>
      </c>
      <c r="Y902" s="58">
        <f t="shared" si="224"/>
        <v>0</v>
      </c>
      <c r="AA902" s="62" t="str">
        <f t="shared" si="235"/>
        <v/>
      </c>
    </row>
    <row r="903" spans="3:27">
      <c r="C903" s="82"/>
      <c r="E903" s="30" t="str">
        <f t="shared" si="232"/>
        <v>00:00:00</v>
      </c>
      <c r="F903" s="36" t="str">
        <f t="shared" si="225"/>
        <v/>
      </c>
      <c r="G903" s="36">
        <f t="shared" si="226"/>
        <v>0</v>
      </c>
      <c r="H903" s="3" t="str">
        <f t="shared" si="227"/>
        <v/>
      </c>
      <c r="I903" s="3">
        <f t="shared" si="228"/>
        <v>0</v>
      </c>
      <c r="L903" s="35">
        <f t="shared" si="221"/>
        <v>1</v>
      </c>
      <c r="O903" s="27">
        <f t="shared" si="229"/>
        <v>0</v>
      </c>
      <c r="P903" s="3">
        <v>901</v>
      </c>
      <c r="Q903" s="3" t="e">
        <f t="shared" si="233"/>
        <v>#N/A</v>
      </c>
      <c r="R903" s="3" t="e">
        <f t="shared" si="234"/>
        <v>#N/A</v>
      </c>
      <c r="T903" s="46" t="str">
        <f t="shared" si="230"/>
        <v/>
      </c>
      <c r="U903" s="48" t="str">
        <f t="shared" si="231"/>
        <v/>
      </c>
      <c r="W903" s="56">
        <f t="shared" si="222"/>
        <v>0</v>
      </c>
      <c r="X903" s="57" t="str">
        <f t="shared" si="223"/>
        <v/>
      </c>
      <c r="Y903" s="58">
        <f t="shared" si="224"/>
        <v>0</v>
      </c>
      <c r="AA903" s="62" t="str">
        <f t="shared" si="235"/>
        <v/>
      </c>
    </row>
    <row r="904" spans="3:27">
      <c r="C904" s="82"/>
      <c r="E904" s="30" t="str">
        <f t="shared" si="232"/>
        <v>00:00:00</v>
      </c>
      <c r="F904" s="36" t="str">
        <f t="shared" si="225"/>
        <v/>
      </c>
      <c r="G904" s="36">
        <f t="shared" si="226"/>
        <v>0</v>
      </c>
      <c r="H904" s="3" t="str">
        <f t="shared" si="227"/>
        <v/>
      </c>
      <c r="I904" s="3">
        <f t="shared" si="228"/>
        <v>0</v>
      </c>
      <c r="L904" s="35">
        <f t="shared" si="221"/>
        <v>1</v>
      </c>
      <c r="O904" s="27">
        <f t="shared" si="229"/>
        <v>0</v>
      </c>
      <c r="P904" s="3">
        <v>902</v>
      </c>
      <c r="Q904" s="3" t="e">
        <f t="shared" si="233"/>
        <v>#N/A</v>
      </c>
      <c r="R904" s="3" t="e">
        <f t="shared" si="234"/>
        <v>#N/A</v>
      </c>
      <c r="T904" s="46" t="str">
        <f t="shared" si="230"/>
        <v/>
      </c>
      <c r="U904" s="48" t="str">
        <f t="shared" si="231"/>
        <v/>
      </c>
      <c r="W904" s="56">
        <f t="shared" si="222"/>
        <v>0</v>
      </c>
      <c r="X904" s="57" t="str">
        <f t="shared" si="223"/>
        <v/>
      </c>
      <c r="Y904" s="58">
        <f t="shared" si="224"/>
        <v>0</v>
      </c>
      <c r="AA904" s="62" t="str">
        <f t="shared" si="235"/>
        <v/>
      </c>
    </row>
    <row r="905" spans="3:27">
      <c r="C905" s="82"/>
      <c r="E905" s="30" t="str">
        <f t="shared" si="232"/>
        <v>00:00:00</v>
      </c>
      <c r="F905" s="36" t="str">
        <f t="shared" si="225"/>
        <v/>
      </c>
      <c r="G905" s="36">
        <f t="shared" si="226"/>
        <v>0</v>
      </c>
      <c r="H905" s="3" t="str">
        <f t="shared" si="227"/>
        <v/>
      </c>
      <c r="I905" s="3">
        <f t="shared" si="228"/>
        <v>0</v>
      </c>
      <c r="L905" s="35">
        <f t="shared" si="221"/>
        <v>1</v>
      </c>
      <c r="O905" s="27">
        <f t="shared" si="229"/>
        <v>0</v>
      </c>
      <c r="P905" s="3">
        <v>903</v>
      </c>
      <c r="Q905" s="3" t="e">
        <f t="shared" si="233"/>
        <v>#N/A</v>
      </c>
      <c r="R905" s="3" t="e">
        <f t="shared" si="234"/>
        <v>#N/A</v>
      </c>
      <c r="T905" s="46" t="str">
        <f t="shared" si="230"/>
        <v/>
      </c>
      <c r="U905" s="48" t="str">
        <f t="shared" si="231"/>
        <v/>
      </c>
      <c r="W905" s="56">
        <f t="shared" si="222"/>
        <v>0</v>
      </c>
      <c r="X905" s="57" t="str">
        <f t="shared" si="223"/>
        <v/>
      </c>
      <c r="Y905" s="58">
        <f t="shared" si="224"/>
        <v>0</v>
      </c>
      <c r="AA905" s="62" t="str">
        <f t="shared" si="235"/>
        <v/>
      </c>
    </row>
    <row r="906" spans="3:27">
      <c r="C906" s="82"/>
      <c r="E906" s="30" t="str">
        <f t="shared" si="232"/>
        <v>00:00:00</v>
      </c>
      <c r="F906" s="36" t="str">
        <f t="shared" si="225"/>
        <v/>
      </c>
      <c r="G906" s="36">
        <f t="shared" si="226"/>
        <v>0</v>
      </c>
      <c r="H906" s="3" t="str">
        <f t="shared" si="227"/>
        <v/>
      </c>
      <c r="I906" s="3">
        <f t="shared" si="228"/>
        <v>0</v>
      </c>
      <c r="L906" s="35">
        <f t="shared" si="221"/>
        <v>1</v>
      </c>
      <c r="O906" s="27">
        <f t="shared" si="229"/>
        <v>0</v>
      </c>
      <c r="P906" s="3">
        <v>904</v>
      </c>
      <c r="Q906" s="3" t="e">
        <f t="shared" si="233"/>
        <v>#N/A</v>
      </c>
      <c r="R906" s="3" t="e">
        <f t="shared" si="234"/>
        <v>#N/A</v>
      </c>
      <c r="T906" s="46" t="str">
        <f t="shared" si="230"/>
        <v/>
      </c>
      <c r="U906" s="48" t="str">
        <f t="shared" si="231"/>
        <v/>
      </c>
      <c r="W906" s="56">
        <f t="shared" si="222"/>
        <v>0</v>
      </c>
      <c r="X906" s="57" t="str">
        <f t="shared" si="223"/>
        <v/>
      </c>
      <c r="Y906" s="58">
        <f t="shared" si="224"/>
        <v>0</v>
      </c>
      <c r="AA906" s="62" t="str">
        <f t="shared" si="235"/>
        <v/>
      </c>
    </row>
    <row r="907" spans="3:27">
      <c r="C907" s="82"/>
      <c r="E907" s="30" t="str">
        <f t="shared" si="232"/>
        <v>00:00:00</v>
      </c>
      <c r="F907" s="36" t="str">
        <f t="shared" si="225"/>
        <v/>
      </c>
      <c r="G907" s="36">
        <f t="shared" si="226"/>
        <v>0</v>
      </c>
      <c r="H907" s="3" t="str">
        <f t="shared" si="227"/>
        <v/>
      </c>
      <c r="I907" s="3">
        <f t="shared" si="228"/>
        <v>0</v>
      </c>
      <c r="L907" s="35">
        <f t="shared" si="221"/>
        <v>1</v>
      </c>
      <c r="O907" s="27">
        <f t="shared" si="229"/>
        <v>0</v>
      </c>
      <c r="P907" s="3">
        <v>905</v>
      </c>
      <c r="Q907" s="3" t="e">
        <f t="shared" si="233"/>
        <v>#N/A</v>
      </c>
      <c r="R907" s="3" t="e">
        <f t="shared" si="234"/>
        <v>#N/A</v>
      </c>
      <c r="T907" s="46" t="str">
        <f t="shared" si="230"/>
        <v/>
      </c>
      <c r="U907" s="48" t="str">
        <f t="shared" si="231"/>
        <v/>
      </c>
      <c r="W907" s="56">
        <f t="shared" si="222"/>
        <v>0</v>
      </c>
      <c r="X907" s="57" t="str">
        <f t="shared" si="223"/>
        <v/>
      </c>
      <c r="Y907" s="58">
        <f t="shared" si="224"/>
        <v>0</v>
      </c>
      <c r="AA907" s="62" t="str">
        <f t="shared" si="235"/>
        <v/>
      </c>
    </row>
    <row r="908" spans="3:27">
      <c r="C908" s="82"/>
      <c r="E908" s="30" t="str">
        <f t="shared" si="232"/>
        <v>00:00:00</v>
      </c>
      <c r="F908" s="36" t="str">
        <f t="shared" si="225"/>
        <v/>
      </c>
      <c r="G908" s="36">
        <f t="shared" si="226"/>
        <v>0</v>
      </c>
      <c r="H908" s="3" t="str">
        <f t="shared" si="227"/>
        <v/>
      </c>
      <c r="I908" s="3">
        <f t="shared" si="228"/>
        <v>0</v>
      </c>
      <c r="L908" s="35">
        <f t="shared" ref="L908:L971" si="236">IF(I907=1,L907+I907,L907)</f>
        <v>1</v>
      </c>
      <c r="O908" s="27">
        <f t="shared" si="229"/>
        <v>0</v>
      </c>
      <c r="P908" s="3">
        <v>906</v>
      </c>
      <c r="Q908" s="3" t="e">
        <f t="shared" si="233"/>
        <v>#N/A</v>
      </c>
      <c r="R908" s="3" t="e">
        <f t="shared" si="234"/>
        <v>#N/A</v>
      </c>
      <c r="T908" s="46" t="str">
        <f t="shared" si="230"/>
        <v/>
      </c>
      <c r="U908" s="48" t="str">
        <f t="shared" si="231"/>
        <v/>
      </c>
      <c r="W908" s="56">
        <f t="shared" si="222"/>
        <v>0</v>
      </c>
      <c r="X908" s="57" t="str">
        <f t="shared" si="223"/>
        <v/>
      </c>
      <c r="Y908" s="58">
        <f t="shared" si="224"/>
        <v>0</v>
      </c>
      <c r="AA908" s="62" t="str">
        <f t="shared" si="235"/>
        <v/>
      </c>
    </row>
    <row r="909" spans="3:27">
      <c r="C909" s="82"/>
      <c r="E909" s="30" t="str">
        <f t="shared" si="232"/>
        <v>00:00:00</v>
      </c>
      <c r="F909" s="36" t="str">
        <f t="shared" si="225"/>
        <v/>
      </c>
      <c r="G909" s="36">
        <f t="shared" si="226"/>
        <v>0</v>
      </c>
      <c r="H909" s="3" t="str">
        <f t="shared" si="227"/>
        <v/>
      </c>
      <c r="I909" s="3">
        <f t="shared" si="228"/>
        <v>0</v>
      </c>
      <c r="L909" s="35">
        <f t="shared" si="236"/>
        <v>1</v>
      </c>
      <c r="O909" s="27">
        <f t="shared" si="229"/>
        <v>0</v>
      </c>
      <c r="P909" s="3">
        <v>907</v>
      </c>
      <c r="Q909" s="3" t="e">
        <f t="shared" si="233"/>
        <v>#N/A</v>
      </c>
      <c r="R909" s="3" t="e">
        <f t="shared" si="234"/>
        <v>#N/A</v>
      </c>
      <c r="T909" s="46" t="str">
        <f t="shared" si="230"/>
        <v/>
      </c>
      <c r="U909" s="48" t="str">
        <f t="shared" si="231"/>
        <v/>
      </c>
      <c r="W909" s="56">
        <f t="shared" si="222"/>
        <v>0</v>
      </c>
      <c r="X909" s="57" t="str">
        <f t="shared" si="223"/>
        <v/>
      </c>
      <c r="Y909" s="58">
        <f t="shared" si="224"/>
        <v>0</v>
      </c>
      <c r="AA909" s="62" t="str">
        <f t="shared" si="235"/>
        <v/>
      </c>
    </row>
    <row r="910" spans="3:27">
      <c r="C910" s="82"/>
      <c r="E910" s="30" t="str">
        <f t="shared" si="232"/>
        <v>00:00:00</v>
      </c>
      <c r="F910" s="36" t="str">
        <f t="shared" si="225"/>
        <v/>
      </c>
      <c r="G910" s="36">
        <f t="shared" si="226"/>
        <v>0</v>
      </c>
      <c r="H910" s="3" t="str">
        <f t="shared" si="227"/>
        <v/>
      </c>
      <c r="I910" s="3">
        <f t="shared" si="228"/>
        <v>0</v>
      </c>
      <c r="L910" s="35">
        <f t="shared" si="236"/>
        <v>1</v>
      </c>
      <c r="O910" s="27">
        <f t="shared" si="229"/>
        <v>0</v>
      </c>
      <c r="P910" s="3">
        <v>908</v>
      </c>
      <c r="Q910" s="3" t="e">
        <f t="shared" si="233"/>
        <v>#N/A</v>
      </c>
      <c r="R910" s="3" t="e">
        <f t="shared" si="234"/>
        <v>#N/A</v>
      </c>
      <c r="T910" s="46" t="str">
        <f t="shared" si="230"/>
        <v/>
      </c>
      <c r="U910" s="48" t="str">
        <f t="shared" si="231"/>
        <v/>
      </c>
      <c r="W910" s="56">
        <f t="shared" si="222"/>
        <v>0</v>
      </c>
      <c r="X910" s="57" t="str">
        <f t="shared" si="223"/>
        <v/>
      </c>
      <c r="Y910" s="58">
        <f t="shared" si="224"/>
        <v>0</v>
      </c>
      <c r="AA910" s="62" t="str">
        <f t="shared" si="235"/>
        <v/>
      </c>
    </row>
    <row r="911" spans="3:27">
      <c r="C911" s="82"/>
      <c r="E911" s="30" t="str">
        <f t="shared" si="232"/>
        <v>00:00:00</v>
      </c>
      <c r="F911" s="36" t="str">
        <f t="shared" si="225"/>
        <v/>
      </c>
      <c r="G911" s="36">
        <f t="shared" si="226"/>
        <v>0</v>
      </c>
      <c r="H911" s="3" t="str">
        <f t="shared" si="227"/>
        <v/>
      </c>
      <c r="I911" s="3">
        <f t="shared" si="228"/>
        <v>0</v>
      </c>
      <c r="L911" s="35">
        <f t="shared" si="236"/>
        <v>1</v>
      </c>
      <c r="O911" s="27">
        <f t="shared" si="229"/>
        <v>0</v>
      </c>
      <c r="P911" s="3">
        <v>909</v>
      </c>
      <c r="Q911" s="3" t="e">
        <f t="shared" si="233"/>
        <v>#N/A</v>
      </c>
      <c r="R911" s="3" t="e">
        <f t="shared" si="234"/>
        <v>#N/A</v>
      </c>
      <c r="T911" s="46" t="str">
        <f t="shared" si="230"/>
        <v/>
      </c>
      <c r="U911" s="48" t="str">
        <f t="shared" si="231"/>
        <v/>
      </c>
      <c r="W911" s="56">
        <f t="shared" si="222"/>
        <v>0</v>
      </c>
      <c r="X911" s="57" t="str">
        <f t="shared" si="223"/>
        <v/>
      </c>
      <c r="Y911" s="58">
        <f t="shared" si="224"/>
        <v>0</v>
      </c>
      <c r="AA911" s="62" t="str">
        <f t="shared" si="235"/>
        <v/>
      </c>
    </row>
    <row r="912" spans="3:27">
      <c r="C912" s="82"/>
      <c r="E912" s="30" t="str">
        <f t="shared" si="232"/>
        <v>00:00:00</v>
      </c>
      <c r="F912" s="36" t="str">
        <f t="shared" si="225"/>
        <v/>
      </c>
      <c r="G912" s="36">
        <f t="shared" si="226"/>
        <v>0</v>
      </c>
      <c r="H912" s="3" t="str">
        <f t="shared" si="227"/>
        <v/>
      </c>
      <c r="I912" s="3">
        <f t="shared" si="228"/>
        <v>0</v>
      </c>
      <c r="L912" s="35">
        <f t="shared" si="236"/>
        <v>1</v>
      </c>
      <c r="O912" s="27">
        <f t="shared" si="229"/>
        <v>0</v>
      </c>
      <c r="P912" s="3">
        <v>910</v>
      </c>
      <c r="Q912" s="3" t="e">
        <f t="shared" si="233"/>
        <v>#N/A</v>
      </c>
      <c r="R912" s="3" t="e">
        <f t="shared" si="234"/>
        <v>#N/A</v>
      </c>
      <c r="T912" s="46" t="str">
        <f t="shared" si="230"/>
        <v/>
      </c>
      <c r="U912" s="48" t="str">
        <f t="shared" si="231"/>
        <v/>
      </c>
      <c r="W912" s="56">
        <f t="shared" si="222"/>
        <v>0</v>
      </c>
      <c r="X912" s="57" t="str">
        <f t="shared" si="223"/>
        <v/>
      </c>
      <c r="Y912" s="58">
        <f t="shared" si="224"/>
        <v>0</v>
      </c>
      <c r="AA912" s="62" t="str">
        <f t="shared" si="235"/>
        <v/>
      </c>
    </row>
    <row r="913" spans="3:27">
      <c r="C913" s="82"/>
      <c r="E913" s="30" t="str">
        <f t="shared" si="232"/>
        <v>00:00:00</v>
      </c>
      <c r="F913" s="36" t="str">
        <f t="shared" si="225"/>
        <v/>
      </c>
      <c r="G913" s="36">
        <f t="shared" si="226"/>
        <v>0</v>
      </c>
      <c r="H913" s="3" t="str">
        <f t="shared" si="227"/>
        <v/>
      </c>
      <c r="I913" s="3">
        <f t="shared" si="228"/>
        <v>0</v>
      </c>
      <c r="L913" s="35">
        <f t="shared" si="236"/>
        <v>1</v>
      </c>
      <c r="O913" s="27">
        <f t="shared" si="229"/>
        <v>0</v>
      </c>
      <c r="P913" s="3">
        <v>911</v>
      </c>
      <c r="Q913" s="3" t="e">
        <f t="shared" si="233"/>
        <v>#N/A</v>
      </c>
      <c r="R913" s="3" t="e">
        <f t="shared" si="234"/>
        <v>#N/A</v>
      </c>
      <c r="T913" s="46" t="str">
        <f t="shared" si="230"/>
        <v/>
      </c>
      <c r="U913" s="48" t="str">
        <f t="shared" si="231"/>
        <v/>
      </c>
      <c r="W913" s="56">
        <f t="shared" si="222"/>
        <v>0</v>
      </c>
      <c r="X913" s="57" t="str">
        <f t="shared" si="223"/>
        <v/>
      </c>
      <c r="Y913" s="58">
        <f t="shared" si="224"/>
        <v>0</v>
      </c>
      <c r="AA913" s="62" t="str">
        <f t="shared" si="235"/>
        <v/>
      </c>
    </row>
    <row r="914" spans="3:27">
      <c r="C914" s="82"/>
      <c r="E914" s="30" t="str">
        <f t="shared" si="232"/>
        <v>00:00:00</v>
      </c>
      <c r="F914" s="36" t="str">
        <f t="shared" si="225"/>
        <v/>
      </c>
      <c r="G914" s="36">
        <f t="shared" si="226"/>
        <v>0</v>
      </c>
      <c r="H914" s="3" t="str">
        <f t="shared" si="227"/>
        <v/>
      </c>
      <c r="I914" s="3">
        <f t="shared" si="228"/>
        <v>0</v>
      </c>
      <c r="L914" s="35">
        <f t="shared" si="236"/>
        <v>1</v>
      </c>
      <c r="O914" s="27">
        <f t="shared" si="229"/>
        <v>0</v>
      </c>
      <c r="P914" s="3">
        <v>912</v>
      </c>
      <c r="Q914" s="3" t="e">
        <f t="shared" si="233"/>
        <v>#N/A</v>
      </c>
      <c r="R914" s="3" t="e">
        <f t="shared" si="234"/>
        <v>#N/A</v>
      </c>
      <c r="T914" s="46" t="str">
        <f t="shared" si="230"/>
        <v/>
      </c>
      <c r="U914" s="48" t="str">
        <f t="shared" si="231"/>
        <v/>
      </c>
      <c r="W914" s="56">
        <f t="shared" si="222"/>
        <v>0</v>
      </c>
      <c r="X914" s="57" t="str">
        <f t="shared" si="223"/>
        <v/>
      </c>
      <c r="Y914" s="58">
        <f t="shared" si="224"/>
        <v>0</v>
      </c>
      <c r="AA914" s="62" t="str">
        <f t="shared" si="235"/>
        <v/>
      </c>
    </row>
    <row r="915" spans="3:27">
      <c r="C915" s="82"/>
      <c r="E915" s="30" t="str">
        <f t="shared" si="232"/>
        <v>00:00:00</v>
      </c>
      <c r="F915" s="36" t="str">
        <f t="shared" si="225"/>
        <v/>
      </c>
      <c r="G915" s="36">
        <f t="shared" si="226"/>
        <v>0</v>
      </c>
      <c r="H915" s="3" t="str">
        <f t="shared" si="227"/>
        <v/>
      </c>
      <c r="I915" s="3">
        <f t="shared" si="228"/>
        <v>0</v>
      </c>
      <c r="L915" s="35">
        <f t="shared" si="236"/>
        <v>1</v>
      </c>
      <c r="O915" s="27">
        <f t="shared" si="229"/>
        <v>0</v>
      </c>
      <c r="P915" s="3">
        <v>913</v>
      </c>
      <c r="Q915" s="3" t="e">
        <f t="shared" si="233"/>
        <v>#N/A</v>
      </c>
      <c r="R915" s="3" t="e">
        <f t="shared" si="234"/>
        <v>#N/A</v>
      </c>
      <c r="T915" s="46" t="str">
        <f t="shared" si="230"/>
        <v/>
      </c>
      <c r="U915" s="48" t="str">
        <f t="shared" si="231"/>
        <v/>
      </c>
      <c r="W915" s="56">
        <f t="shared" si="222"/>
        <v>0</v>
      </c>
      <c r="X915" s="57" t="str">
        <f t="shared" si="223"/>
        <v/>
      </c>
      <c r="Y915" s="58">
        <f t="shared" si="224"/>
        <v>0</v>
      </c>
      <c r="AA915" s="62" t="str">
        <f t="shared" si="235"/>
        <v/>
      </c>
    </row>
    <row r="916" spans="3:27">
      <c r="C916" s="82"/>
      <c r="E916" s="30" t="str">
        <f t="shared" si="232"/>
        <v>00:00:00</v>
      </c>
      <c r="F916" s="36" t="str">
        <f t="shared" si="225"/>
        <v/>
      </c>
      <c r="G916" s="36">
        <f t="shared" si="226"/>
        <v>0</v>
      </c>
      <c r="H916" s="3" t="str">
        <f t="shared" si="227"/>
        <v/>
      </c>
      <c r="I916" s="3">
        <f t="shared" si="228"/>
        <v>0</v>
      </c>
      <c r="L916" s="35">
        <f t="shared" si="236"/>
        <v>1</v>
      </c>
      <c r="O916" s="27">
        <f t="shared" si="229"/>
        <v>0</v>
      </c>
      <c r="P916" s="3">
        <v>914</v>
      </c>
      <c r="Q916" s="3" t="e">
        <f t="shared" si="233"/>
        <v>#N/A</v>
      </c>
      <c r="R916" s="3" t="e">
        <f t="shared" si="234"/>
        <v>#N/A</v>
      </c>
      <c r="T916" s="46" t="str">
        <f t="shared" si="230"/>
        <v/>
      </c>
      <c r="U916" s="48" t="str">
        <f t="shared" si="231"/>
        <v/>
      </c>
      <c r="W916" s="56">
        <f t="shared" si="222"/>
        <v>0</v>
      </c>
      <c r="X916" s="57" t="str">
        <f t="shared" si="223"/>
        <v/>
      </c>
      <c r="Y916" s="58">
        <f t="shared" si="224"/>
        <v>0</v>
      </c>
      <c r="AA916" s="62" t="str">
        <f t="shared" si="235"/>
        <v/>
      </c>
    </row>
    <row r="917" spans="3:27">
      <c r="C917" s="82"/>
      <c r="E917" s="30" t="str">
        <f t="shared" si="232"/>
        <v>00:00:00</v>
      </c>
      <c r="F917" s="36" t="str">
        <f t="shared" si="225"/>
        <v/>
      </c>
      <c r="G917" s="36">
        <f t="shared" si="226"/>
        <v>0</v>
      </c>
      <c r="H917" s="3" t="str">
        <f t="shared" si="227"/>
        <v/>
      </c>
      <c r="I917" s="3">
        <f t="shared" si="228"/>
        <v>0</v>
      </c>
      <c r="L917" s="35">
        <f t="shared" si="236"/>
        <v>1</v>
      </c>
      <c r="O917" s="27">
        <f t="shared" si="229"/>
        <v>0</v>
      </c>
      <c r="P917" s="3">
        <v>915</v>
      </c>
      <c r="Q917" s="3" t="e">
        <f t="shared" si="233"/>
        <v>#N/A</v>
      </c>
      <c r="R917" s="3" t="e">
        <f t="shared" si="234"/>
        <v>#N/A</v>
      </c>
      <c r="T917" s="46" t="str">
        <f t="shared" si="230"/>
        <v/>
      </c>
      <c r="U917" s="48" t="str">
        <f t="shared" si="231"/>
        <v/>
      </c>
      <c r="W917" s="56">
        <f t="shared" si="222"/>
        <v>0</v>
      </c>
      <c r="X917" s="57" t="str">
        <f t="shared" si="223"/>
        <v/>
      </c>
      <c r="Y917" s="58">
        <f t="shared" si="224"/>
        <v>0</v>
      </c>
      <c r="AA917" s="62" t="str">
        <f t="shared" si="235"/>
        <v/>
      </c>
    </row>
    <row r="918" spans="3:27">
      <c r="C918" s="82"/>
      <c r="E918" s="30" t="str">
        <f t="shared" si="232"/>
        <v>00:00:00</v>
      </c>
      <c r="F918" s="36" t="str">
        <f t="shared" si="225"/>
        <v/>
      </c>
      <c r="G918" s="36">
        <f t="shared" si="226"/>
        <v>0</v>
      </c>
      <c r="H918" s="3" t="str">
        <f t="shared" si="227"/>
        <v/>
      </c>
      <c r="I918" s="3">
        <f t="shared" si="228"/>
        <v>0</v>
      </c>
      <c r="L918" s="35">
        <f t="shared" si="236"/>
        <v>1</v>
      </c>
      <c r="O918" s="27">
        <f t="shared" si="229"/>
        <v>0</v>
      </c>
      <c r="P918" s="3">
        <v>916</v>
      </c>
      <c r="Q918" s="3" t="e">
        <f t="shared" si="233"/>
        <v>#N/A</v>
      </c>
      <c r="R918" s="3" t="e">
        <f t="shared" si="234"/>
        <v>#N/A</v>
      </c>
      <c r="T918" s="46" t="str">
        <f t="shared" si="230"/>
        <v/>
      </c>
      <c r="U918" s="48" t="str">
        <f t="shared" si="231"/>
        <v/>
      </c>
      <c r="W918" s="56">
        <f t="shared" si="222"/>
        <v>0</v>
      </c>
      <c r="X918" s="57" t="str">
        <f t="shared" si="223"/>
        <v/>
      </c>
      <c r="Y918" s="58">
        <f t="shared" si="224"/>
        <v>0</v>
      </c>
      <c r="AA918" s="62" t="str">
        <f t="shared" si="235"/>
        <v/>
      </c>
    </row>
    <row r="919" spans="3:27">
      <c r="C919" s="82"/>
      <c r="E919" s="30" t="str">
        <f t="shared" si="232"/>
        <v>00:00:00</v>
      </c>
      <c r="F919" s="36" t="str">
        <f t="shared" si="225"/>
        <v/>
      </c>
      <c r="G919" s="36">
        <f t="shared" si="226"/>
        <v>0</v>
      </c>
      <c r="H919" s="3" t="str">
        <f t="shared" si="227"/>
        <v/>
      </c>
      <c r="I919" s="3">
        <f t="shared" si="228"/>
        <v>0</v>
      </c>
      <c r="L919" s="35">
        <f t="shared" si="236"/>
        <v>1</v>
      </c>
      <c r="O919" s="27">
        <f t="shared" si="229"/>
        <v>0</v>
      </c>
      <c r="P919" s="3">
        <v>917</v>
      </c>
      <c r="Q919" s="3" t="e">
        <f t="shared" si="233"/>
        <v>#N/A</v>
      </c>
      <c r="R919" s="3" t="e">
        <f t="shared" si="234"/>
        <v>#N/A</v>
      </c>
      <c r="T919" s="46" t="str">
        <f t="shared" si="230"/>
        <v/>
      </c>
      <c r="U919" s="48" t="str">
        <f t="shared" si="231"/>
        <v/>
      </c>
      <c r="W919" s="56">
        <f t="shared" si="222"/>
        <v>0</v>
      </c>
      <c r="X919" s="57" t="str">
        <f t="shared" si="223"/>
        <v/>
      </c>
      <c r="Y919" s="58">
        <f t="shared" si="224"/>
        <v>0</v>
      </c>
      <c r="AA919" s="62" t="str">
        <f t="shared" si="235"/>
        <v/>
      </c>
    </row>
    <row r="920" spans="3:27">
      <c r="C920" s="82"/>
      <c r="E920" s="30" t="str">
        <f t="shared" si="232"/>
        <v>00:00:00</v>
      </c>
      <c r="F920" s="36" t="str">
        <f t="shared" si="225"/>
        <v/>
      </c>
      <c r="G920" s="36">
        <f t="shared" si="226"/>
        <v>0</v>
      </c>
      <c r="H920" s="3" t="str">
        <f t="shared" si="227"/>
        <v/>
      </c>
      <c r="I920" s="3">
        <f t="shared" si="228"/>
        <v>0</v>
      </c>
      <c r="L920" s="35">
        <f t="shared" si="236"/>
        <v>1</v>
      </c>
      <c r="O920" s="27">
        <f t="shared" si="229"/>
        <v>0</v>
      </c>
      <c r="P920" s="3">
        <v>918</v>
      </c>
      <c r="Q920" s="3" t="e">
        <f t="shared" si="233"/>
        <v>#N/A</v>
      </c>
      <c r="R920" s="3" t="e">
        <f t="shared" si="234"/>
        <v>#N/A</v>
      </c>
      <c r="T920" s="46" t="str">
        <f t="shared" si="230"/>
        <v/>
      </c>
      <c r="U920" s="48" t="str">
        <f t="shared" si="231"/>
        <v/>
      </c>
      <c r="W920" s="56">
        <f t="shared" si="222"/>
        <v>0</v>
      </c>
      <c r="X920" s="57" t="str">
        <f t="shared" si="223"/>
        <v/>
      </c>
      <c r="Y920" s="58">
        <f t="shared" si="224"/>
        <v>0</v>
      </c>
      <c r="AA920" s="62" t="str">
        <f t="shared" si="235"/>
        <v/>
      </c>
    </row>
    <row r="921" spans="3:27">
      <c r="C921" s="82"/>
      <c r="E921" s="30" t="str">
        <f t="shared" si="232"/>
        <v>00:00:00</v>
      </c>
      <c r="F921" s="36" t="str">
        <f t="shared" si="225"/>
        <v/>
      </c>
      <c r="G921" s="36">
        <f t="shared" si="226"/>
        <v>0</v>
      </c>
      <c r="H921" s="3" t="str">
        <f t="shared" si="227"/>
        <v/>
      </c>
      <c r="I921" s="3">
        <f t="shared" si="228"/>
        <v>0</v>
      </c>
      <c r="L921" s="35">
        <f t="shared" si="236"/>
        <v>1</v>
      </c>
      <c r="O921" s="27">
        <f t="shared" si="229"/>
        <v>0</v>
      </c>
      <c r="P921" s="3">
        <v>919</v>
      </c>
      <c r="Q921" s="3" t="e">
        <f t="shared" si="233"/>
        <v>#N/A</v>
      </c>
      <c r="R921" s="3" t="e">
        <f t="shared" si="234"/>
        <v>#N/A</v>
      </c>
      <c r="T921" s="46" t="str">
        <f t="shared" si="230"/>
        <v/>
      </c>
      <c r="U921" s="48" t="str">
        <f t="shared" si="231"/>
        <v/>
      </c>
      <c r="W921" s="56">
        <f t="shared" si="222"/>
        <v>0</v>
      </c>
      <c r="X921" s="57" t="str">
        <f t="shared" si="223"/>
        <v/>
      </c>
      <c r="Y921" s="58">
        <f t="shared" si="224"/>
        <v>0</v>
      </c>
      <c r="AA921" s="62" t="str">
        <f t="shared" si="235"/>
        <v/>
      </c>
    </row>
    <row r="922" spans="3:27">
      <c r="C922" s="82"/>
      <c r="E922" s="30" t="str">
        <f t="shared" si="232"/>
        <v>00:00:00</v>
      </c>
      <c r="F922" s="36" t="str">
        <f t="shared" si="225"/>
        <v/>
      </c>
      <c r="G922" s="36">
        <f t="shared" si="226"/>
        <v>0</v>
      </c>
      <c r="H922" s="3" t="str">
        <f t="shared" si="227"/>
        <v/>
      </c>
      <c r="I922" s="3">
        <f t="shared" si="228"/>
        <v>0</v>
      </c>
      <c r="L922" s="35">
        <f t="shared" si="236"/>
        <v>1</v>
      </c>
      <c r="O922" s="27">
        <f t="shared" si="229"/>
        <v>0</v>
      </c>
      <c r="P922" s="3">
        <v>920</v>
      </c>
      <c r="Q922" s="3" t="e">
        <f t="shared" si="233"/>
        <v>#N/A</v>
      </c>
      <c r="R922" s="3" t="e">
        <f t="shared" si="234"/>
        <v>#N/A</v>
      </c>
      <c r="T922" s="46" t="str">
        <f t="shared" si="230"/>
        <v/>
      </c>
      <c r="U922" s="48" t="str">
        <f t="shared" si="231"/>
        <v/>
      </c>
      <c r="W922" s="56">
        <f t="shared" si="222"/>
        <v>0</v>
      </c>
      <c r="X922" s="57" t="str">
        <f t="shared" si="223"/>
        <v/>
      </c>
      <c r="Y922" s="58">
        <f t="shared" si="224"/>
        <v>0</v>
      </c>
      <c r="AA922" s="62" t="str">
        <f t="shared" si="235"/>
        <v/>
      </c>
    </row>
    <row r="923" spans="3:27">
      <c r="C923" s="82"/>
      <c r="E923" s="30" t="str">
        <f t="shared" si="232"/>
        <v>00:00:00</v>
      </c>
      <c r="F923" s="36" t="str">
        <f t="shared" si="225"/>
        <v/>
      </c>
      <c r="G923" s="36">
        <f t="shared" si="226"/>
        <v>0</v>
      </c>
      <c r="H923" s="3" t="str">
        <f t="shared" si="227"/>
        <v/>
      </c>
      <c r="I923" s="3">
        <f t="shared" si="228"/>
        <v>0</v>
      </c>
      <c r="L923" s="35">
        <f t="shared" si="236"/>
        <v>1</v>
      </c>
      <c r="O923" s="27">
        <f t="shared" si="229"/>
        <v>0</v>
      </c>
      <c r="P923" s="3">
        <v>921</v>
      </c>
      <c r="Q923" s="3" t="e">
        <f t="shared" si="233"/>
        <v>#N/A</v>
      </c>
      <c r="R923" s="3" t="e">
        <f t="shared" si="234"/>
        <v>#N/A</v>
      </c>
      <c r="T923" s="46" t="str">
        <f t="shared" si="230"/>
        <v/>
      </c>
      <c r="U923" s="48" t="str">
        <f t="shared" si="231"/>
        <v/>
      </c>
      <c r="W923" s="56">
        <f t="shared" si="222"/>
        <v>0</v>
      </c>
      <c r="X923" s="57" t="str">
        <f t="shared" si="223"/>
        <v/>
      </c>
      <c r="Y923" s="58">
        <f t="shared" si="224"/>
        <v>0</v>
      </c>
      <c r="AA923" s="62" t="str">
        <f t="shared" si="235"/>
        <v/>
      </c>
    </row>
    <row r="924" spans="3:27">
      <c r="C924" s="82"/>
      <c r="E924" s="30" t="str">
        <f t="shared" si="232"/>
        <v>00:00:00</v>
      </c>
      <c r="F924" s="36" t="str">
        <f t="shared" si="225"/>
        <v/>
      </c>
      <c r="G924" s="36">
        <f t="shared" si="226"/>
        <v>0</v>
      </c>
      <c r="H924" s="3" t="str">
        <f t="shared" si="227"/>
        <v/>
      </c>
      <c r="I924" s="3">
        <f t="shared" si="228"/>
        <v>0</v>
      </c>
      <c r="L924" s="35">
        <f t="shared" si="236"/>
        <v>1</v>
      </c>
      <c r="O924" s="27">
        <f t="shared" si="229"/>
        <v>0</v>
      </c>
      <c r="P924" s="3">
        <v>922</v>
      </c>
      <c r="Q924" s="3" t="e">
        <f t="shared" si="233"/>
        <v>#N/A</v>
      </c>
      <c r="R924" s="3" t="e">
        <f t="shared" si="234"/>
        <v>#N/A</v>
      </c>
      <c r="T924" s="46" t="str">
        <f t="shared" si="230"/>
        <v/>
      </c>
      <c r="U924" s="48" t="str">
        <f t="shared" si="231"/>
        <v/>
      </c>
      <c r="W924" s="56">
        <f t="shared" si="222"/>
        <v>0</v>
      </c>
      <c r="X924" s="57" t="str">
        <f t="shared" si="223"/>
        <v/>
      </c>
      <c r="Y924" s="58">
        <f t="shared" si="224"/>
        <v>0</v>
      </c>
      <c r="AA924" s="62" t="str">
        <f t="shared" si="235"/>
        <v/>
      </c>
    </row>
    <row r="925" spans="3:27">
      <c r="C925" s="82"/>
      <c r="E925" s="30" t="str">
        <f t="shared" si="232"/>
        <v>00:00:00</v>
      </c>
      <c r="F925" s="36" t="str">
        <f t="shared" si="225"/>
        <v/>
      </c>
      <c r="G925" s="36">
        <f t="shared" si="226"/>
        <v>0</v>
      </c>
      <c r="H925" s="3" t="str">
        <f t="shared" si="227"/>
        <v/>
      </c>
      <c r="I925" s="3">
        <f t="shared" si="228"/>
        <v>0</v>
      </c>
      <c r="L925" s="35">
        <f t="shared" si="236"/>
        <v>1</v>
      </c>
      <c r="O925" s="27">
        <f t="shared" si="229"/>
        <v>0</v>
      </c>
      <c r="P925" s="3">
        <v>923</v>
      </c>
      <c r="Q925" s="3" t="e">
        <f t="shared" si="233"/>
        <v>#N/A</v>
      </c>
      <c r="R925" s="3" t="e">
        <f t="shared" si="234"/>
        <v>#N/A</v>
      </c>
      <c r="T925" s="46" t="str">
        <f t="shared" si="230"/>
        <v/>
      </c>
      <c r="U925" s="48" t="str">
        <f t="shared" si="231"/>
        <v/>
      </c>
      <c r="W925" s="56">
        <f t="shared" si="222"/>
        <v>0</v>
      </c>
      <c r="X925" s="57" t="str">
        <f t="shared" si="223"/>
        <v/>
      </c>
      <c r="Y925" s="58">
        <f t="shared" si="224"/>
        <v>0</v>
      </c>
      <c r="AA925" s="62" t="str">
        <f t="shared" si="235"/>
        <v/>
      </c>
    </row>
    <row r="926" spans="3:27">
      <c r="C926" s="82"/>
      <c r="E926" s="30" t="str">
        <f t="shared" si="232"/>
        <v>00:00:00</v>
      </c>
      <c r="F926" s="36" t="str">
        <f t="shared" si="225"/>
        <v/>
      </c>
      <c r="G926" s="36">
        <f t="shared" si="226"/>
        <v>0</v>
      </c>
      <c r="H926" s="3" t="str">
        <f t="shared" si="227"/>
        <v/>
      </c>
      <c r="I926" s="3">
        <f t="shared" si="228"/>
        <v>0</v>
      </c>
      <c r="L926" s="35">
        <f t="shared" si="236"/>
        <v>1</v>
      </c>
      <c r="O926" s="27">
        <f t="shared" si="229"/>
        <v>0</v>
      </c>
      <c r="P926" s="3">
        <v>924</v>
      </c>
      <c r="Q926" s="3" t="e">
        <f t="shared" si="233"/>
        <v>#N/A</v>
      </c>
      <c r="R926" s="3" t="e">
        <f t="shared" si="234"/>
        <v>#N/A</v>
      </c>
      <c r="T926" s="46" t="str">
        <f t="shared" si="230"/>
        <v/>
      </c>
      <c r="U926" s="48" t="str">
        <f t="shared" si="231"/>
        <v/>
      </c>
      <c r="W926" s="56">
        <f t="shared" si="222"/>
        <v>0</v>
      </c>
      <c r="X926" s="57" t="str">
        <f t="shared" si="223"/>
        <v/>
      </c>
      <c r="Y926" s="58">
        <f t="shared" si="224"/>
        <v>0</v>
      </c>
      <c r="AA926" s="62" t="str">
        <f t="shared" si="235"/>
        <v/>
      </c>
    </row>
    <row r="927" spans="3:27">
      <c r="C927" s="82"/>
      <c r="E927" s="30" t="str">
        <f t="shared" si="232"/>
        <v>00:00:00</v>
      </c>
      <c r="F927" s="36" t="str">
        <f t="shared" si="225"/>
        <v/>
      </c>
      <c r="G927" s="36">
        <f t="shared" si="226"/>
        <v>0</v>
      </c>
      <c r="H927" s="3" t="str">
        <f t="shared" si="227"/>
        <v/>
      </c>
      <c r="I927" s="3">
        <f t="shared" si="228"/>
        <v>0</v>
      </c>
      <c r="L927" s="35">
        <f t="shared" si="236"/>
        <v>1</v>
      </c>
      <c r="O927" s="27">
        <f t="shared" si="229"/>
        <v>0</v>
      </c>
      <c r="P927" s="3">
        <v>925</v>
      </c>
      <c r="Q927" s="3" t="e">
        <f t="shared" si="233"/>
        <v>#N/A</v>
      </c>
      <c r="R927" s="3" t="e">
        <f t="shared" si="234"/>
        <v>#N/A</v>
      </c>
      <c r="T927" s="46" t="str">
        <f t="shared" si="230"/>
        <v/>
      </c>
      <c r="U927" s="48" t="str">
        <f t="shared" si="231"/>
        <v/>
      </c>
      <c r="W927" s="56">
        <f t="shared" si="222"/>
        <v>0</v>
      </c>
      <c r="X927" s="57" t="str">
        <f t="shared" si="223"/>
        <v/>
      </c>
      <c r="Y927" s="58">
        <f t="shared" si="224"/>
        <v>0</v>
      </c>
      <c r="AA927" s="62" t="str">
        <f t="shared" si="235"/>
        <v/>
      </c>
    </row>
    <row r="928" spans="3:27">
      <c r="C928" s="82"/>
      <c r="E928" s="30" t="str">
        <f t="shared" si="232"/>
        <v>00:00:00</v>
      </c>
      <c r="F928" s="36" t="str">
        <f t="shared" si="225"/>
        <v/>
      </c>
      <c r="G928" s="36">
        <f t="shared" si="226"/>
        <v>0</v>
      </c>
      <c r="H928" s="3" t="str">
        <f t="shared" si="227"/>
        <v/>
      </c>
      <c r="I928" s="3">
        <f t="shared" si="228"/>
        <v>0</v>
      </c>
      <c r="L928" s="35">
        <f t="shared" si="236"/>
        <v>1</v>
      </c>
      <c r="O928" s="27">
        <f t="shared" si="229"/>
        <v>0</v>
      </c>
      <c r="P928" s="3">
        <v>926</v>
      </c>
      <c r="Q928" s="3" t="e">
        <f t="shared" si="233"/>
        <v>#N/A</v>
      </c>
      <c r="R928" s="3" t="e">
        <f t="shared" si="234"/>
        <v>#N/A</v>
      </c>
      <c r="T928" s="46" t="str">
        <f t="shared" si="230"/>
        <v/>
      </c>
      <c r="U928" s="48" t="str">
        <f t="shared" si="231"/>
        <v/>
      </c>
      <c r="W928" s="56">
        <f t="shared" si="222"/>
        <v>0</v>
      </c>
      <c r="X928" s="57" t="str">
        <f t="shared" si="223"/>
        <v/>
      </c>
      <c r="Y928" s="58">
        <f t="shared" si="224"/>
        <v>0</v>
      </c>
      <c r="AA928" s="62" t="str">
        <f t="shared" si="235"/>
        <v/>
      </c>
    </row>
    <row r="929" spans="3:27">
      <c r="C929" s="82"/>
      <c r="E929" s="30" t="str">
        <f t="shared" si="232"/>
        <v>00:00:00</v>
      </c>
      <c r="F929" s="36" t="str">
        <f t="shared" si="225"/>
        <v/>
      </c>
      <c r="G929" s="36">
        <f t="shared" si="226"/>
        <v>0</v>
      </c>
      <c r="H929" s="3" t="str">
        <f t="shared" si="227"/>
        <v/>
      </c>
      <c r="I929" s="3">
        <f t="shared" si="228"/>
        <v>0</v>
      </c>
      <c r="L929" s="35">
        <f t="shared" si="236"/>
        <v>1</v>
      </c>
      <c r="O929" s="27">
        <f t="shared" si="229"/>
        <v>0</v>
      </c>
      <c r="P929" s="3">
        <v>927</v>
      </c>
      <c r="Q929" s="3" t="e">
        <f t="shared" si="233"/>
        <v>#N/A</v>
      </c>
      <c r="R929" s="3" t="e">
        <f t="shared" si="234"/>
        <v>#N/A</v>
      </c>
      <c r="T929" s="46" t="str">
        <f t="shared" si="230"/>
        <v/>
      </c>
      <c r="U929" s="48" t="str">
        <f t="shared" si="231"/>
        <v/>
      </c>
      <c r="W929" s="56">
        <f t="shared" si="222"/>
        <v>0</v>
      </c>
      <c r="X929" s="57" t="str">
        <f t="shared" si="223"/>
        <v/>
      </c>
      <c r="Y929" s="58">
        <f t="shared" si="224"/>
        <v>0</v>
      </c>
      <c r="AA929" s="62" t="str">
        <f t="shared" si="235"/>
        <v/>
      </c>
    </row>
    <row r="930" spans="3:27">
      <c r="C930" s="82"/>
      <c r="E930" s="30" t="str">
        <f t="shared" si="232"/>
        <v>00:00:00</v>
      </c>
      <c r="F930" s="36" t="str">
        <f t="shared" si="225"/>
        <v/>
      </c>
      <c r="G930" s="36">
        <f t="shared" si="226"/>
        <v>0</v>
      </c>
      <c r="H930" s="3" t="str">
        <f t="shared" si="227"/>
        <v/>
      </c>
      <c r="I930" s="3">
        <f t="shared" si="228"/>
        <v>0</v>
      </c>
      <c r="L930" s="35">
        <f t="shared" si="236"/>
        <v>1</v>
      </c>
      <c r="O930" s="27">
        <f t="shared" si="229"/>
        <v>0</v>
      </c>
      <c r="P930" s="3">
        <v>928</v>
      </c>
      <c r="Q930" s="3" t="e">
        <f t="shared" si="233"/>
        <v>#N/A</v>
      </c>
      <c r="R930" s="3" t="e">
        <f t="shared" si="234"/>
        <v>#N/A</v>
      </c>
      <c r="T930" s="46" t="str">
        <f t="shared" si="230"/>
        <v/>
      </c>
      <c r="U930" s="48" t="str">
        <f t="shared" si="231"/>
        <v/>
      </c>
      <c r="W930" s="56">
        <f t="shared" si="222"/>
        <v>0</v>
      </c>
      <c r="X930" s="57" t="str">
        <f t="shared" si="223"/>
        <v/>
      </c>
      <c r="Y930" s="58">
        <f t="shared" si="224"/>
        <v>0</v>
      </c>
      <c r="AA930" s="62" t="str">
        <f t="shared" si="235"/>
        <v/>
      </c>
    </row>
    <row r="931" spans="3:27">
      <c r="C931" s="82"/>
      <c r="E931" s="30" t="str">
        <f t="shared" si="232"/>
        <v>00:00:00</v>
      </c>
      <c r="F931" s="36" t="str">
        <f t="shared" si="225"/>
        <v/>
      </c>
      <c r="G931" s="36">
        <f t="shared" si="226"/>
        <v>0</v>
      </c>
      <c r="H931" s="3" t="str">
        <f t="shared" si="227"/>
        <v/>
      </c>
      <c r="I931" s="3">
        <f t="shared" si="228"/>
        <v>0</v>
      </c>
      <c r="L931" s="35">
        <f t="shared" si="236"/>
        <v>1</v>
      </c>
      <c r="O931" s="27">
        <f t="shared" si="229"/>
        <v>0</v>
      </c>
      <c r="P931" s="3">
        <v>929</v>
      </c>
      <c r="Q931" s="3" t="e">
        <f t="shared" si="233"/>
        <v>#N/A</v>
      </c>
      <c r="R931" s="3" t="e">
        <f t="shared" si="234"/>
        <v>#N/A</v>
      </c>
      <c r="T931" s="46" t="str">
        <f t="shared" si="230"/>
        <v/>
      </c>
      <c r="U931" s="48" t="str">
        <f t="shared" si="231"/>
        <v/>
      </c>
      <c r="W931" s="56">
        <f t="shared" si="222"/>
        <v>0</v>
      </c>
      <c r="X931" s="57" t="str">
        <f t="shared" si="223"/>
        <v/>
      </c>
      <c r="Y931" s="58">
        <f t="shared" si="224"/>
        <v>0</v>
      </c>
      <c r="AA931" s="62" t="str">
        <f t="shared" si="235"/>
        <v/>
      </c>
    </row>
    <row r="932" spans="3:27">
      <c r="C932" s="82"/>
      <c r="E932" s="30" t="str">
        <f t="shared" si="232"/>
        <v>00:00:00</v>
      </c>
      <c r="F932" s="36" t="str">
        <f t="shared" si="225"/>
        <v/>
      </c>
      <c r="G932" s="36">
        <f t="shared" si="226"/>
        <v>0</v>
      </c>
      <c r="H932" s="3" t="str">
        <f t="shared" si="227"/>
        <v/>
      </c>
      <c r="I932" s="3">
        <f t="shared" si="228"/>
        <v>0</v>
      </c>
      <c r="L932" s="35">
        <f t="shared" si="236"/>
        <v>1</v>
      </c>
      <c r="O932" s="27">
        <f t="shared" si="229"/>
        <v>0</v>
      </c>
      <c r="P932" s="3">
        <v>930</v>
      </c>
      <c r="Q932" s="3" t="e">
        <f t="shared" si="233"/>
        <v>#N/A</v>
      </c>
      <c r="R932" s="3" t="e">
        <f t="shared" si="234"/>
        <v>#N/A</v>
      </c>
      <c r="T932" s="46" t="str">
        <f t="shared" si="230"/>
        <v/>
      </c>
      <c r="U932" s="48" t="str">
        <f t="shared" si="231"/>
        <v/>
      </c>
      <c r="W932" s="56">
        <f t="shared" si="222"/>
        <v>0</v>
      </c>
      <c r="X932" s="57" t="str">
        <f t="shared" si="223"/>
        <v/>
      </c>
      <c r="Y932" s="58">
        <f t="shared" si="224"/>
        <v>0</v>
      </c>
      <c r="AA932" s="62" t="str">
        <f t="shared" si="235"/>
        <v/>
      </c>
    </row>
    <row r="933" spans="3:27">
      <c r="C933" s="82"/>
      <c r="E933" s="30" t="str">
        <f t="shared" si="232"/>
        <v>00:00:00</v>
      </c>
      <c r="F933" s="36" t="str">
        <f t="shared" si="225"/>
        <v/>
      </c>
      <c r="G933" s="36">
        <f t="shared" si="226"/>
        <v>0</v>
      </c>
      <c r="H933" s="3" t="str">
        <f t="shared" si="227"/>
        <v/>
      </c>
      <c r="I933" s="3">
        <f t="shared" si="228"/>
        <v>0</v>
      </c>
      <c r="L933" s="35">
        <f t="shared" si="236"/>
        <v>1</v>
      </c>
      <c r="O933" s="27">
        <f t="shared" si="229"/>
        <v>0</v>
      </c>
      <c r="P933" s="3">
        <v>931</v>
      </c>
      <c r="Q933" s="3" t="e">
        <f t="shared" si="233"/>
        <v>#N/A</v>
      </c>
      <c r="R933" s="3" t="e">
        <f t="shared" si="234"/>
        <v>#N/A</v>
      </c>
      <c r="T933" s="46" t="str">
        <f t="shared" si="230"/>
        <v/>
      </c>
      <c r="U933" s="48" t="str">
        <f t="shared" si="231"/>
        <v/>
      </c>
      <c r="W933" s="56">
        <f t="shared" si="222"/>
        <v>0</v>
      </c>
      <c r="X933" s="57" t="str">
        <f t="shared" si="223"/>
        <v/>
      </c>
      <c r="Y933" s="58">
        <f t="shared" si="224"/>
        <v>0</v>
      </c>
      <c r="AA933" s="62" t="str">
        <f t="shared" si="235"/>
        <v/>
      </c>
    </row>
    <row r="934" spans="3:27">
      <c r="C934" s="82"/>
      <c r="E934" s="30" t="str">
        <f t="shared" si="232"/>
        <v>00:00:00</v>
      </c>
      <c r="F934" s="36" t="str">
        <f t="shared" si="225"/>
        <v/>
      </c>
      <c r="G934" s="36">
        <f t="shared" si="226"/>
        <v>0</v>
      </c>
      <c r="H934" s="3" t="str">
        <f t="shared" si="227"/>
        <v/>
      </c>
      <c r="I934" s="3">
        <f t="shared" si="228"/>
        <v>0</v>
      </c>
      <c r="L934" s="35">
        <f t="shared" si="236"/>
        <v>1</v>
      </c>
      <c r="O934" s="27">
        <f t="shared" si="229"/>
        <v>0</v>
      </c>
      <c r="P934" s="3">
        <v>932</v>
      </c>
      <c r="Q934" s="3" t="e">
        <f t="shared" si="233"/>
        <v>#N/A</v>
      </c>
      <c r="R934" s="3" t="e">
        <f t="shared" si="234"/>
        <v>#N/A</v>
      </c>
      <c r="T934" s="46" t="str">
        <f t="shared" si="230"/>
        <v/>
      </c>
      <c r="U934" s="48" t="str">
        <f t="shared" si="231"/>
        <v/>
      </c>
      <c r="W934" s="56">
        <f t="shared" si="222"/>
        <v>0</v>
      </c>
      <c r="X934" s="57" t="str">
        <f t="shared" si="223"/>
        <v/>
      </c>
      <c r="Y934" s="58">
        <f t="shared" si="224"/>
        <v>0</v>
      </c>
      <c r="AA934" s="62" t="str">
        <f t="shared" si="235"/>
        <v/>
      </c>
    </row>
    <row r="935" spans="3:27">
      <c r="C935" s="82"/>
      <c r="E935" s="30" t="str">
        <f t="shared" si="232"/>
        <v>00:00:00</v>
      </c>
      <c r="F935" s="36" t="str">
        <f t="shared" si="225"/>
        <v/>
      </c>
      <c r="G935" s="36">
        <f t="shared" si="226"/>
        <v>0</v>
      </c>
      <c r="H935" s="3" t="str">
        <f t="shared" si="227"/>
        <v/>
      </c>
      <c r="I935" s="3">
        <f t="shared" si="228"/>
        <v>0</v>
      </c>
      <c r="L935" s="35">
        <f t="shared" si="236"/>
        <v>1</v>
      </c>
      <c r="O935" s="27">
        <f t="shared" si="229"/>
        <v>0</v>
      </c>
      <c r="P935" s="3">
        <v>933</v>
      </c>
      <c r="Q935" s="3" t="e">
        <f t="shared" si="233"/>
        <v>#N/A</v>
      </c>
      <c r="R935" s="3" t="e">
        <f t="shared" si="234"/>
        <v>#N/A</v>
      </c>
      <c r="T935" s="46" t="str">
        <f t="shared" si="230"/>
        <v/>
      </c>
      <c r="U935" s="48" t="str">
        <f t="shared" si="231"/>
        <v/>
      </c>
      <c r="W935" s="56">
        <f t="shared" si="222"/>
        <v>0</v>
      </c>
      <c r="X935" s="57" t="str">
        <f t="shared" si="223"/>
        <v/>
      </c>
      <c r="Y935" s="58">
        <f t="shared" si="224"/>
        <v>0</v>
      </c>
      <c r="AA935" s="62" t="str">
        <f t="shared" si="235"/>
        <v/>
      </c>
    </row>
    <row r="936" spans="3:27">
      <c r="C936" s="82"/>
      <c r="E936" s="30" t="str">
        <f t="shared" si="232"/>
        <v>00:00:00</v>
      </c>
      <c r="F936" s="36" t="str">
        <f t="shared" si="225"/>
        <v/>
      </c>
      <c r="G936" s="36">
        <f t="shared" si="226"/>
        <v>0</v>
      </c>
      <c r="H936" s="3" t="str">
        <f t="shared" si="227"/>
        <v/>
      </c>
      <c r="I936" s="3">
        <f t="shared" si="228"/>
        <v>0</v>
      </c>
      <c r="L936" s="35">
        <f t="shared" si="236"/>
        <v>1</v>
      </c>
      <c r="O936" s="27">
        <f t="shared" si="229"/>
        <v>0</v>
      </c>
      <c r="P936" s="3">
        <v>934</v>
      </c>
      <c r="Q936" s="3" t="e">
        <f t="shared" si="233"/>
        <v>#N/A</v>
      </c>
      <c r="R936" s="3" t="e">
        <f t="shared" si="234"/>
        <v>#N/A</v>
      </c>
      <c r="T936" s="46" t="str">
        <f t="shared" si="230"/>
        <v/>
      </c>
      <c r="U936" s="48" t="str">
        <f t="shared" si="231"/>
        <v/>
      </c>
      <c r="W936" s="56">
        <f t="shared" si="222"/>
        <v>0</v>
      </c>
      <c r="X936" s="57" t="str">
        <f t="shared" si="223"/>
        <v/>
      </c>
      <c r="Y936" s="58">
        <f t="shared" si="224"/>
        <v>0</v>
      </c>
      <c r="AA936" s="62" t="str">
        <f t="shared" si="235"/>
        <v/>
      </c>
    </row>
    <row r="937" spans="3:27">
      <c r="C937" s="82"/>
      <c r="E937" s="30" t="str">
        <f t="shared" si="232"/>
        <v>00:00:00</v>
      </c>
      <c r="F937" s="36" t="str">
        <f t="shared" si="225"/>
        <v/>
      </c>
      <c r="G937" s="36">
        <f t="shared" si="226"/>
        <v>0</v>
      </c>
      <c r="H937" s="3" t="str">
        <f t="shared" si="227"/>
        <v/>
      </c>
      <c r="I937" s="3">
        <f t="shared" si="228"/>
        <v>0</v>
      </c>
      <c r="L937" s="35">
        <f t="shared" si="236"/>
        <v>1</v>
      </c>
      <c r="O937" s="27">
        <f t="shared" si="229"/>
        <v>0</v>
      </c>
      <c r="P937" s="3">
        <v>935</v>
      </c>
      <c r="Q937" s="3" t="e">
        <f t="shared" si="233"/>
        <v>#N/A</v>
      </c>
      <c r="R937" s="3" t="e">
        <f t="shared" si="234"/>
        <v>#N/A</v>
      </c>
      <c r="T937" s="46" t="str">
        <f t="shared" si="230"/>
        <v/>
      </c>
      <c r="U937" s="48" t="str">
        <f t="shared" si="231"/>
        <v/>
      </c>
      <c r="W937" s="56">
        <f t="shared" si="222"/>
        <v>0</v>
      </c>
      <c r="X937" s="57" t="str">
        <f t="shared" si="223"/>
        <v/>
      </c>
      <c r="Y937" s="58">
        <f t="shared" si="224"/>
        <v>0</v>
      </c>
      <c r="AA937" s="62" t="str">
        <f t="shared" si="235"/>
        <v/>
      </c>
    </row>
    <row r="938" spans="3:27">
      <c r="C938" s="82"/>
      <c r="E938" s="30" t="str">
        <f t="shared" si="232"/>
        <v>00:00:00</v>
      </c>
      <c r="F938" s="36" t="str">
        <f t="shared" si="225"/>
        <v/>
      </c>
      <c r="G938" s="36">
        <f t="shared" si="226"/>
        <v>0</v>
      </c>
      <c r="H938" s="3" t="str">
        <f t="shared" si="227"/>
        <v/>
      </c>
      <c r="I938" s="3">
        <f t="shared" si="228"/>
        <v>0</v>
      </c>
      <c r="L938" s="35">
        <f t="shared" si="236"/>
        <v>1</v>
      </c>
      <c r="O938" s="27">
        <f t="shared" si="229"/>
        <v>0</v>
      </c>
      <c r="P938" s="3">
        <v>936</v>
      </c>
      <c r="Q938" s="3" t="e">
        <f t="shared" si="233"/>
        <v>#N/A</v>
      </c>
      <c r="R938" s="3" t="e">
        <f t="shared" si="234"/>
        <v>#N/A</v>
      </c>
      <c r="T938" s="46" t="str">
        <f t="shared" si="230"/>
        <v/>
      </c>
      <c r="U938" s="48" t="str">
        <f t="shared" si="231"/>
        <v/>
      </c>
      <c r="W938" s="56">
        <f t="shared" si="222"/>
        <v>0</v>
      </c>
      <c r="X938" s="57" t="str">
        <f t="shared" si="223"/>
        <v/>
      </c>
      <c r="Y938" s="58">
        <f t="shared" si="224"/>
        <v>0</v>
      </c>
      <c r="AA938" s="62" t="str">
        <f t="shared" si="235"/>
        <v/>
      </c>
    </row>
    <row r="939" spans="3:27">
      <c r="C939" s="82"/>
      <c r="E939" s="30" t="str">
        <f t="shared" si="232"/>
        <v>00:00:00</v>
      </c>
      <c r="F939" s="36" t="str">
        <f t="shared" si="225"/>
        <v/>
      </c>
      <c r="G939" s="36">
        <f t="shared" si="226"/>
        <v>0</v>
      </c>
      <c r="H939" s="3" t="str">
        <f t="shared" si="227"/>
        <v/>
      </c>
      <c r="I939" s="3">
        <f t="shared" si="228"/>
        <v>0</v>
      </c>
      <c r="L939" s="35">
        <f t="shared" si="236"/>
        <v>1</v>
      </c>
      <c r="O939" s="27">
        <f t="shared" si="229"/>
        <v>0</v>
      </c>
      <c r="P939" s="3">
        <v>937</v>
      </c>
      <c r="Q939" s="3" t="e">
        <f t="shared" si="233"/>
        <v>#N/A</v>
      </c>
      <c r="R939" s="3" t="e">
        <f t="shared" si="234"/>
        <v>#N/A</v>
      </c>
      <c r="T939" s="46" t="str">
        <f t="shared" si="230"/>
        <v/>
      </c>
      <c r="U939" s="48" t="str">
        <f t="shared" si="231"/>
        <v/>
      </c>
      <c r="W939" s="56">
        <f t="shared" si="222"/>
        <v>0</v>
      </c>
      <c r="X939" s="57" t="str">
        <f t="shared" si="223"/>
        <v/>
      </c>
      <c r="Y939" s="58">
        <f t="shared" si="224"/>
        <v>0</v>
      </c>
      <c r="AA939" s="62" t="str">
        <f t="shared" si="235"/>
        <v/>
      </c>
    </row>
    <row r="940" spans="3:27">
      <c r="C940" s="82"/>
      <c r="E940" s="30" t="str">
        <f t="shared" si="232"/>
        <v>00:00:00</v>
      </c>
      <c r="F940" s="36" t="str">
        <f t="shared" si="225"/>
        <v/>
      </c>
      <c r="G940" s="36">
        <f t="shared" si="226"/>
        <v>0</v>
      </c>
      <c r="H940" s="3" t="str">
        <f t="shared" si="227"/>
        <v/>
      </c>
      <c r="I940" s="3">
        <f t="shared" si="228"/>
        <v>0</v>
      </c>
      <c r="L940" s="35">
        <f t="shared" si="236"/>
        <v>1</v>
      </c>
      <c r="O940" s="27">
        <f t="shared" si="229"/>
        <v>0</v>
      </c>
      <c r="P940" s="3">
        <v>938</v>
      </c>
      <c r="Q940" s="3" t="e">
        <f t="shared" si="233"/>
        <v>#N/A</v>
      </c>
      <c r="R940" s="3" t="e">
        <f t="shared" si="234"/>
        <v>#N/A</v>
      </c>
      <c r="T940" s="46" t="str">
        <f t="shared" si="230"/>
        <v/>
      </c>
      <c r="U940" s="48" t="str">
        <f t="shared" si="231"/>
        <v/>
      </c>
      <c r="W940" s="56">
        <f t="shared" si="222"/>
        <v>0</v>
      </c>
      <c r="X940" s="57" t="str">
        <f t="shared" si="223"/>
        <v/>
      </c>
      <c r="Y940" s="58">
        <f t="shared" si="224"/>
        <v>0</v>
      </c>
      <c r="AA940" s="62" t="str">
        <f t="shared" si="235"/>
        <v/>
      </c>
    </row>
    <row r="941" spans="3:27">
      <c r="C941" s="82"/>
      <c r="E941" s="30" t="str">
        <f t="shared" si="232"/>
        <v>00:00:00</v>
      </c>
      <c r="F941" s="36" t="str">
        <f t="shared" si="225"/>
        <v/>
      </c>
      <c r="G941" s="36">
        <f t="shared" si="226"/>
        <v>0</v>
      </c>
      <c r="H941" s="3" t="str">
        <f t="shared" si="227"/>
        <v/>
      </c>
      <c r="I941" s="3">
        <f t="shared" si="228"/>
        <v>0</v>
      </c>
      <c r="L941" s="35">
        <f t="shared" si="236"/>
        <v>1</v>
      </c>
      <c r="O941" s="27">
        <f t="shared" si="229"/>
        <v>0</v>
      </c>
      <c r="P941" s="3">
        <v>939</v>
      </c>
      <c r="Q941" s="3" t="e">
        <f t="shared" si="233"/>
        <v>#N/A</v>
      </c>
      <c r="R941" s="3" t="e">
        <f t="shared" si="234"/>
        <v>#N/A</v>
      </c>
      <c r="T941" s="46" t="str">
        <f t="shared" si="230"/>
        <v/>
      </c>
      <c r="U941" s="48" t="str">
        <f t="shared" si="231"/>
        <v/>
      </c>
      <c r="W941" s="56">
        <f t="shared" si="222"/>
        <v>0</v>
      </c>
      <c r="X941" s="57" t="str">
        <f t="shared" si="223"/>
        <v/>
      </c>
      <c r="Y941" s="58">
        <f t="shared" si="224"/>
        <v>0</v>
      </c>
      <c r="AA941" s="62" t="str">
        <f t="shared" si="235"/>
        <v/>
      </c>
    </row>
    <row r="942" spans="3:27">
      <c r="C942" s="82"/>
      <c r="E942" s="30" t="str">
        <f t="shared" si="232"/>
        <v>00:00:00</v>
      </c>
      <c r="F942" s="36" t="str">
        <f t="shared" si="225"/>
        <v/>
      </c>
      <c r="G942" s="36">
        <f t="shared" si="226"/>
        <v>0</v>
      </c>
      <c r="H942" s="3" t="str">
        <f t="shared" si="227"/>
        <v/>
      </c>
      <c r="I942" s="3">
        <f t="shared" si="228"/>
        <v>0</v>
      </c>
      <c r="L942" s="35">
        <f t="shared" si="236"/>
        <v>1</v>
      </c>
      <c r="O942" s="27">
        <f t="shared" si="229"/>
        <v>0</v>
      </c>
      <c r="P942" s="3">
        <v>940</v>
      </c>
      <c r="Q942" s="3" t="e">
        <f t="shared" si="233"/>
        <v>#N/A</v>
      </c>
      <c r="R942" s="3" t="e">
        <f t="shared" si="234"/>
        <v>#N/A</v>
      </c>
      <c r="T942" s="46" t="str">
        <f t="shared" si="230"/>
        <v/>
      </c>
      <c r="U942" s="48" t="str">
        <f t="shared" si="231"/>
        <v/>
      </c>
      <c r="W942" s="56">
        <f t="shared" si="222"/>
        <v>0</v>
      </c>
      <c r="X942" s="57" t="str">
        <f t="shared" si="223"/>
        <v/>
      </c>
      <c r="Y942" s="58">
        <f t="shared" si="224"/>
        <v>0</v>
      </c>
      <c r="AA942" s="62" t="str">
        <f t="shared" si="235"/>
        <v/>
      </c>
    </row>
    <row r="943" spans="3:27">
      <c r="C943" s="82"/>
      <c r="E943" s="30" t="str">
        <f t="shared" si="232"/>
        <v>00:00:00</v>
      </c>
      <c r="F943" s="36" t="str">
        <f t="shared" si="225"/>
        <v/>
      </c>
      <c r="G943" s="36">
        <f t="shared" si="226"/>
        <v>0</v>
      </c>
      <c r="H943" s="3" t="str">
        <f t="shared" si="227"/>
        <v/>
      </c>
      <c r="I943" s="3">
        <f t="shared" si="228"/>
        <v>0</v>
      </c>
      <c r="L943" s="35">
        <f t="shared" si="236"/>
        <v>1</v>
      </c>
      <c r="O943" s="27">
        <f t="shared" si="229"/>
        <v>0</v>
      </c>
      <c r="P943" s="3">
        <v>941</v>
      </c>
      <c r="Q943" s="3" t="e">
        <f t="shared" si="233"/>
        <v>#N/A</v>
      </c>
      <c r="R943" s="3" t="e">
        <f t="shared" si="234"/>
        <v>#N/A</v>
      </c>
      <c r="T943" s="46" t="str">
        <f t="shared" si="230"/>
        <v/>
      </c>
      <c r="U943" s="48" t="str">
        <f t="shared" si="231"/>
        <v/>
      </c>
      <c r="W943" s="56">
        <f t="shared" si="222"/>
        <v>0</v>
      </c>
      <c r="X943" s="57" t="str">
        <f t="shared" si="223"/>
        <v/>
      </c>
      <c r="Y943" s="58">
        <f t="shared" si="224"/>
        <v>0</v>
      </c>
      <c r="AA943" s="62" t="str">
        <f t="shared" si="235"/>
        <v/>
      </c>
    </row>
    <row r="944" spans="3:27">
      <c r="C944" s="82"/>
      <c r="E944" s="30" t="str">
        <f t="shared" si="232"/>
        <v>00:00:00</v>
      </c>
      <c r="F944" s="36" t="str">
        <f t="shared" si="225"/>
        <v/>
      </c>
      <c r="G944" s="36">
        <f t="shared" si="226"/>
        <v>0</v>
      </c>
      <c r="H944" s="3" t="str">
        <f t="shared" si="227"/>
        <v/>
      </c>
      <c r="I944" s="3">
        <f t="shared" si="228"/>
        <v>0</v>
      </c>
      <c r="L944" s="35">
        <f t="shared" si="236"/>
        <v>1</v>
      </c>
      <c r="O944" s="27">
        <f t="shared" si="229"/>
        <v>0</v>
      </c>
      <c r="P944" s="3">
        <v>942</v>
      </c>
      <c r="Q944" s="3" t="e">
        <f t="shared" si="233"/>
        <v>#N/A</v>
      </c>
      <c r="R944" s="3" t="e">
        <f t="shared" si="234"/>
        <v>#N/A</v>
      </c>
      <c r="T944" s="46" t="str">
        <f t="shared" si="230"/>
        <v/>
      </c>
      <c r="U944" s="48" t="str">
        <f t="shared" si="231"/>
        <v/>
      </c>
      <c r="W944" s="56">
        <f t="shared" si="222"/>
        <v>0</v>
      </c>
      <c r="X944" s="57" t="str">
        <f t="shared" si="223"/>
        <v/>
      </c>
      <c r="Y944" s="58">
        <f t="shared" si="224"/>
        <v>0</v>
      </c>
      <c r="AA944" s="62" t="str">
        <f t="shared" si="235"/>
        <v/>
      </c>
    </row>
    <row r="945" spans="3:27">
      <c r="C945" s="82"/>
      <c r="E945" s="30" t="str">
        <f t="shared" si="232"/>
        <v>00:00:00</v>
      </c>
      <c r="F945" s="36" t="str">
        <f t="shared" si="225"/>
        <v/>
      </c>
      <c r="G945" s="36">
        <f t="shared" si="226"/>
        <v>0</v>
      </c>
      <c r="H945" s="3" t="str">
        <f t="shared" si="227"/>
        <v/>
      </c>
      <c r="I945" s="3">
        <f t="shared" si="228"/>
        <v>0</v>
      </c>
      <c r="L945" s="35">
        <f t="shared" si="236"/>
        <v>1</v>
      </c>
      <c r="O945" s="27">
        <f t="shared" si="229"/>
        <v>0</v>
      </c>
      <c r="P945" s="3">
        <v>943</v>
      </c>
      <c r="Q945" s="3" t="e">
        <f t="shared" si="233"/>
        <v>#N/A</v>
      </c>
      <c r="R945" s="3" t="e">
        <f t="shared" si="234"/>
        <v>#N/A</v>
      </c>
      <c r="T945" s="46" t="str">
        <f t="shared" si="230"/>
        <v/>
      </c>
      <c r="U945" s="48" t="str">
        <f t="shared" si="231"/>
        <v/>
      </c>
      <c r="W945" s="56">
        <f t="shared" si="222"/>
        <v>0</v>
      </c>
      <c r="X945" s="57" t="str">
        <f t="shared" si="223"/>
        <v/>
      </c>
      <c r="Y945" s="58">
        <f t="shared" si="224"/>
        <v>0</v>
      </c>
      <c r="AA945" s="62" t="str">
        <f t="shared" si="235"/>
        <v/>
      </c>
    </row>
    <row r="946" spans="3:27">
      <c r="C946" s="82"/>
      <c r="E946" s="30" t="str">
        <f t="shared" si="232"/>
        <v>00:00:00</v>
      </c>
      <c r="F946" s="36" t="str">
        <f t="shared" si="225"/>
        <v/>
      </c>
      <c r="G946" s="36">
        <f t="shared" si="226"/>
        <v>0</v>
      </c>
      <c r="H946" s="3" t="str">
        <f t="shared" si="227"/>
        <v/>
      </c>
      <c r="I946" s="3">
        <f t="shared" si="228"/>
        <v>0</v>
      </c>
      <c r="L946" s="35">
        <f t="shared" si="236"/>
        <v>1</v>
      </c>
      <c r="O946" s="27">
        <f t="shared" si="229"/>
        <v>0</v>
      </c>
      <c r="P946" s="3">
        <v>944</v>
      </c>
      <c r="Q946" s="3" t="e">
        <f t="shared" si="233"/>
        <v>#N/A</v>
      </c>
      <c r="R946" s="3" t="e">
        <f t="shared" si="234"/>
        <v>#N/A</v>
      </c>
      <c r="T946" s="46" t="str">
        <f t="shared" si="230"/>
        <v/>
      </c>
      <c r="U946" s="48" t="str">
        <f t="shared" si="231"/>
        <v/>
      </c>
      <c r="W946" s="56">
        <f t="shared" si="222"/>
        <v>0</v>
      </c>
      <c r="X946" s="57" t="str">
        <f t="shared" si="223"/>
        <v/>
      </c>
      <c r="Y946" s="58">
        <f t="shared" si="224"/>
        <v>0</v>
      </c>
      <c r="AA946" s="62" t="str">
        <f t="shared" si="235"/>
        <v/>
      </c>
    </row>
    <row r="947" spans="3:27">
      <c r="C947" s="82"/>
      <c r="E947" s="30" t="str">
        <f t="shared" si="232"/>
        <v>00:00:00</v>
      </c>
      <c r="F947" s="36" t="str">
        <f t="shared" si="225"/>
        <v/>
      </c>
      <c r="G947" s="36">
        <f t="shared" si="226"/>
        <v>0</v>
      </c>
      <c r="H947" s="3" t="str">
        <f t="shared" si="227"/>
        <v/>
      </c>
      <c r="I947" s="3">
        <f t="shared" si="228"/>
        <v>0</v>
      </c>
      <c r="L947" s="35">
        <f t="shared" si="236"/>
        <v>1</v>
      </c>
      <c r="O947" s="27">
        <f t="shared" si="229"/>
        <v>0</v>
      </c>
      <c r="P947" s="3">
        <v>945</v>
      </c>
      <c r="Q947" s="3" t="e">
        <f t="shared" si="233"/>
        <v>#N/A</v>
      </c>
      <c r="R947" s="3" t="e">
        <f t="shared" si="234"/>
        <v>#N/A</v>
      </c>
      <c r="T947" s="46" t="str">
        <f t="shared" si="230"/>
        <v/>
      </c>
      <c r="U947" s="48" t="str">
        <f t="shared" si="231"/>
        <v/>
      </c>
      <c r="W947" s="56">
        <f t="shared" si="222"/>
        <v>0</v>
      </c>
      <c r="X947" s="57" t="str">
        <f t="shared" si="223"/>
        <v/>
      </c>
      <c r="Y947" s="58">
        <f t="shared" si="224"/>
        <v>0</v>
      </c>
      <c r="AA947" s="62" t="str">
        <f t="shared" si="235"/>
        <v/>
      </c>
    </row>
    <row r="948" spans="3:27">
      <c r="C948" s="82"/>
      <c r="E948" s="30" t="str">
        <f t="shared" si="232"/>
        <v>00:00:00</v>
      </c>
      <c r="F948" s="36" t="str">
        <f t="shared" si="225"/>
        <v/>
      </c>
      <c r="G948" s="36">
        <f t="shared" si="226"/>
        <v>0</v>
      </c>
      <c r="H948" s="3" t="str">
        <f t="shared" si="227"/>
        <v/>
      </c>
      <c r="I948" s="3">
        <f t="shared" si="228"/>
        <v>0</v>
      </c>
      <c r="L948" s="35">
        <f t="shared" si="236"/>
        <v>1</v>
      </c>
      <c r="O948" s="27">
        <f t="shared" si="229"/>
        <v>0</v>
      </c>
      <c r="P948" s="3">
        <v>946</v>
      </c>
      <c r="Q948" s="3" t="e">
        <f t="shared" si="233"/>
        <v>#N/A</v>
      </c>
      <c r="R948" s="3" t="e">
        <f t="shared" si="234"/>
        <v>#N/A</v>
      </c>
      <c r="T948" s="46" t="str">
        <f t="shared" si="230"/>
        <v/>
      </c>
      <c r="U948" s="48" t="str">
        <f t="shared" si="231"/>
        <v/>
      </c>
      <c r="W948" s="56">
        <f t="shared" si="222"/>
        <v>0</v>
      </c>
      <c r="X948" s="57" t="str">
        <f t="shared" si="223"/>
        <v/>
      </c>
      <c r="Y948" s="58">
        <f t="shared" si="224"/>
        <v>0</v>
      </c>
      <c r="AA948" s="62" t="str">
        <f t="shared" si="235"/>
        <v/>
      </c>
    </row>
    <row r="949" spans="3:27">
      <c r="C949" s="82"/>
      <c r="E949" s="30" t="str">
        <f t="shared" si="232"/>
        <v>00:00:00</v>
      </c>
      <c r="F949" s="36" t="str">
        <f t="shared" si="225"/>
        <v/>
      </c>
      <c r="G949" s="36">
        <f t="shared" si="226"/>
        <v>0</v>
      </c>
      <c r="H949" s="3" t="str">
        <f t="shared" si="227"/>
        <v/>
      </c>
      <c r="I949" s="3">
        <f t="shared" si="228"/>
        <v>0</v>
      </c>
      <c r="L949" s="35">
        <f t="shared" si="236"/>
        <v>1</v>
      </c>
      <c r="O949" s="27">
        <f t="shared" si="229"/>
        <v>0</v>
      </c>
      <c r="P949" s="3">
        <v>947</v>
      </c>
      <c r="Q949" s="3" t="e">
        <f t="shared" si="233"/>
        <v>#N/A</v>
      </c>
      <c r="R949" s="3" t="e">
        <f t="shared" si="234"/>
        <v>#N/A</v>
      </c>
      <c r="T949" s="46" t="str">
        <f t="shared" si="230"/>
        <v/>
      </c>
      <c r="U949" s="48" t="str">
        <f t="shared" si="231"/>
        <v/>
      </c>
      <c r="W949" s="56">
        <f t="shared" si="222"/>
        <v>0</v>
      </c>
      <c r="X949" s="57" t="str">
        <f t="shared" si="223"/>
        <v/>
      </c>
      <c r="Y949" s="58">
        <f t="shared" si="224"/>
        <v>0</v>
      </c>
      <c r="AA949" s="62" t="str">
        <f t="shared" si="235"/>
        <v/>
      </c>
    </row>
    <row r="950" spans="3:27">
      <c r="C950" s="82"/>
      <c r="E950" s="30" t="str">
        <f t="shared" si="232"/>
        <v>00:00:00</v>
      </c>
      <c r="F950" s="36" t="str">
        <f t="shared" si="225"/>
        <v/>
      </c>
      <c r="G950" s="36">
        <f t="shared" si="226"/>
        <v>0</v>
      </c>
      <c r="H950" s="3" t="str">
        <f t="shared" si="227"/>
        <v/>
      </c>
      <c r="I950" s="3">
        <f t="shared" si="228"/>
        <v>0</v>
      </c>
      <c r="L950" s="35">
        <f t="shared" si="236"/>
        <v>1</v>
      </c>
      <c r="O950" s="27">
        <f t="shared" si="229"/>
        <v>0</v>
      </c>
      <c r="P950" s="3">
        <v>948</v>
      </c>
      <c r="Q950" s="3" t="e">
        <f t="shared" si="233"/>
        <v>#N/A</v>
      </c>
      <c r="R950" s="3" t="e">
        <f t="shared" si="234"/>
        <v>#N/A</v>
      </c>
      <c r="T950" s="46" t="str">
        <f t="shared" si="230"/>
        <v/>
      </c>
      <c r="U950" s="48" t="str">
        <f t="shared" si="231"/>
        <v/>
      </c>
      <c r="W950" s="56">
        <f t="shared" si="222"/>
        <v>0</v>
      </c>
      <c r="X950" s="57" t="str">
        <f t="shared" si="223"/>
        <v/>
      </c>
      <c r="Y950" s="58">
        <f t="shared" si="224"/>
        <v>0</v>
      </c>
      <c r="AA950" s="62" t="str">
        <f t="shared" si="235"/>
        <v/>
      </c>
    </row>
    <row r="951" spans="3:27">
      <c r="C951" s="82"/>
      <c r="E951" s="30" t="str">
        <f t="shared" si="232"/>
        <v>00:00:00</v>
      </c>
      <c r="F951" s="36" t="str">
        <f t="shared" si="225"/>
        <v/>
      </c>
      <c r="G951" s="36">
        <f t="shared" si="226"/>
        <v>0</v>
      </c>
      <c r="H951" s="3" t="str">
        <f t="shared" si="227"/>
        <v/>
      </c>
      <c r="I951" s="3">
        <f t="shared" si="228"/>
        <v>0</v>
      </c>
      <c r="L951" s="35">
        <f t="shared" si="236"/>
        <v>1</v>
      </c>
      <c r="O951" s="27">
        <f t="shared" si="229"/>
        <v>0</v>
      </c>
      <c r="P951" s="3">
        <v>949</v>
      </c>
      <c r="Q951" s="3" t="e">
        <f t="shared" si="233"/>
        <v>#N/A</v>
      </c>
      <c r="R951" s="3" t="e">
        <f t="shared" si="234"/>
        <v>#N/A</v>
      </c>
      <c r="T951" s="46" t="str">
        <f t="shared" si="230"/>
        <v/>
      </c>
      <c r="U951" s="48" t="str">
        <f t="shared" si="231"/>
        <v/>
      </c>
      <c r="W951" s="56">
        <f t="shared" si="222"/>
        <v>0</v>
      </c>
      <c r="X951" s="57" t="str">
        <f t="shared" si="223"/>
        <v/>
      </c>
      <c r="Y951" s="58">
        <f t="shared" si="224"/>
        <v>0</v>
      </c>
      <c r="AA951" s="62" t="str">
        <f t="shared" si="235"/>
        <v/>
      </c>
    </row>
    <row r="952" spans="3:27">
      <c r="C952" s="82"/>
      <c r="E952" s="30" t="str">
        <f t="shared" si="232"/>
        <v>00:00:00</v>
      </c>
      <c r="F952" s="36" t="str">
        <f t="shared" si="225"/>
        <v/>
      </c>
      <c r="G952" s="36">
        <f t="shared" si="226"/>
        <v>0</v>
      </c>
      <c r="H952" s="3" t="str">
        <f t="shared" si="227"/>
        <v/>
      </c>
      <c r="I952" s="3">
        <f t="shared" si="228"/>
        <v>0</v>
      </c>
      <c r="L952" s="35">
        <f t="shared" si="236"/>
        <v>1</v>
      </c>
      <c r="O952" s="27">
        <f t="shared" si="229"/>
        <v>0</v>
      </c>
      <c r="P952" s="3">
        <v>950</v>
      </c>
      <c r="Q952" s="3" t="e">
        <f t="shared" si="233"/>
        <v>#N/A</v>
      </c>
      <c r="R952" s="3" t="e">
        <f t="shared" si="234"/>
        <v>#N/A</v>
      </c>
      <c r="T952" s="46" t="str">
        <f t="shared" si="230"/>
        <v/>
      </c>
      <c r="U952" s="48" t="str">
        <f t="shared" si="231"/>
        <v/>
      </c>
      <c r="W952" s="56">
        <f t="shared" si="222"/>
        <v>0</v>
      </c>
      <c r="X952" s="57" t="str">
        <f t="shared" si="223"/>
        <v/>
      </c>
      <c r="Y952" s="58">
        <f t="shared" si="224"/>
        <v>0</v>
      </c>
      <c r="AA952" s="62" t="str">
        <f t="shared" si="235"/>
        <v/>
      </c>
    </row>
    <row r="953" spans="3:27">
      <c r="C953" s="82"/>
      <c r="E953" s="30" t="str">
        <f t="shared" si="232"/>
        <v>00:00:00</v>
      </c>
      <c r="F953" s="36" t="str">
        <f t="shared" si="225"/>
        <v/>
      </c>
      <c r="G953" s="36">
        <f t="shared" si="226"/>
        <v>0</v>
      </c>
      <c r="H953" s="3" t="str">
        <f t="shared" si="227"/>
        <v/>
      </c>
      <c r="I953" s="3">
        <f t="shared" si="228"/>
        <v>0</v>
      </c>
      <c r="L953" s="35">
        <f t="shared" si="236"/>
        <v>1</v>
      </c>
      <c r="O953" s="27">
        <f t="shared" si="229"/>
        <v>0</v>
      </c>
      <c r="P953" s="3">
        <v>951</v>
      </c>
      <c r="Q953" s="3" t="e">
        <f t="shared" si="233"/>
        <v>#N/A</v>
      </c>
      <c r="R953" s="3" t="e">
        <f t="shared" si="234"/>
        <v>#N/A</v>
      </c>
      <c r="T953" s="46" t="str">
        <f t="shared" si="230"/>
        <v/>
      </c>
      <c r="U953" s="48" t="str">
        <f t="shared" si="231"/>
        <v/>
      </c>
      <c r="W953" s="56">
        <f t="shared" si="222"/>
        <v>0</v>
      </c>
      <c r="X953" s="57" t="str">
        <f t="shared" si="223"/>
        <v/>
      </c>
      <c r="Y953" s="58">
        <f t="shared" si="224"/>
        <v>0</v>
      </c>
      <c r="AA953" s="62" t="str">
        <f t="shared" si="235"/>
        <v/>
      </c>
    </row>
    <row r="954" spans="3:27">
      <c r="C954" s="82"/>
      <c r="E954" s="30" t="str">
        <f t="shared" si="232"/>
        <v>00:00:00</v>
      </c>
      <c r="F954" s="36" t="str">
        <f t="shared" si="225"/>
        <v/>
      </c>
      <c r="G954" s="36">
        <f t="shared" si="226"/>
        <v>0</v>
      </c>
      <c r="H954" s="3" t="str">
        <f t="shared" si="227"/>
        <v/>
      </c>
      <c r="I954" s="3">
        <f t="shared" si="228"/>
        <v>0</v>
      </c>
      <c r="L954" s="35">
        <f t="shared" si="236"/>
        <v>1</v>
      </c>
      <c r="O954" s="27">
        <f t="shared" si="229"/>
        <v>0</v>
      </c>
      <c r="P954" s="3">
        <v>952</v>
      </c>
      <c r="Q954" s="3" t="e">
        <f t="shared" si="233"/>
        <v>#N/A</v>
      </c>
      <c r="R954" s="3" t="e">
        <f t="shared" si="234"/>
        <v>#N/A</v>
      </c>
      <c r="T954" s="46" t="str">
        <f t="shared" si="230"/>
        <v/>
      </c>
      <c r="U954" s="48" t="str">
        <f t="shared" si="231"/>
        <v/>
      </c>
      <c r="W954" s="56">
        <f t="shared" si="222"/>
        <v>0</v>
      </c>
      <c r="X954" s="57" t="str">
        <f t="shared" si="223"/>
        <v/>
      </c>
      <c r="Y954" s="58">
        <f t="shared" si="224"/>
        <v>0</v>
      </c>
      <c r="AA954" s="62" t="str">
        <f t="shared" si="235"/>
        <v/>
      </c>
    </row>
    <row r="955" spans="3:27">
      <c r="C955" s="82"/>
      <c r="E955" s="30" t="str">
        <f t="shared" si="232"/>
        <v>00:00:00</v>
      </c>
      <c r="F955" s="36" t="str">
        <f t="shared" si="225"/>
        <v/>
      </c>
      <c r="G955" s="36">
        <f t="shared" si="226"/>
        <v>0</v>
      </c>
      <c r="H955" s="3" t="str">
        <f t="shared" si="227"/>
        <v/>
      </c>
      <c r="I955" s="3">
        <f t="shared" si="228"/>
        <v>0</v>
      </c>
      <c r="L955" s="35">
        <f t="shared" si="236"/>
        <v>1</v>
      </c>
      <c r="O955" s="27">
        <f t="shared" si="229"/>
        <v>0</v>
      </c>
      <c r="P955" s="3">
        <v>953</v>
      </c>
      <c r="Q955" s="3" t="e">
        <f t="shared" si="233"/>
        <v>#N/A</v>
      </c>
      <c r="R955" s="3" t="e">
        <f t="shared" si="234"/>
        <v>#N/A</v>
      </c>
      <c r="T955" s="46" t="str">
        <f t="shared" si="230"/>
        <v/>
      </c>
      <c r="U955" s="48" t="str">
        <f t="shared" si="231"/>
        <v/>
      </c>
      <c r="W955" s="56">
        <f t="shared" si="222"/>
        <v>0</v>
      </c>
      <c r="X955" s="57" t="str">
        <f t="shared" si="223"/>
        <v/>
      </c>
      <c r="Y955" s="58">
        <f t="shared" si="224"/>
        <v>0</v>
      </c>
      <c r="AA955" s="62" t="str">
        <f t="shared" si="235"/>
        <v/>
      </c>
    </row>
    <row r="956" spans="3:27">
      <c r="C956" s="82"/>
      <c r="E956" s="30" t="str">
        <f t="shared" si="232"/>
        <v>00:00:00</v>
      </c>
      <c r="F956" s="36" t="str">
        <f t="shared" si="225"/>
        <v/>
      </c>
      <c r="G956" s="36">
        <f t="shared" si="226"/>
        <v>0</v>
      </c>
      <c r="H956" s="3" t="str">
        <f t="shared" si="227"/>
        <v/>
      </c>
      <c r="I956" s="3">
        <f t="shared" si="228"/>
        <v>0</v>
      </c>
      <c r="L956" s="35">
        <f t="shared" si="236"/>
        <v>1</v>
      </c>
      <c r="O956" s="27">
        <f t="shared" si="229"/>
        <v>0</v>
      </c>
      <c r="P956" s="3">
        <v>954</v>
      </c>
      <c r="Q956" s="3" t="e">
        <f t="shared" si="233"/>
        <v>#N/A</v>
      </c>
      <c r="R956" s="3" t="e">
        <f t="shared" si="234"/>
        <v>#N/A</v>
      </c>
      <c r="T956" s="46" t="str">
        <f t="shared" si="230"/>
        <v/>
      </c>
      <c r="U956" s="48" t="str">
        <f t="shared" si="231"/>
        <v/>
      </c>
      <c r="W956" s="56">
        <f t="shared" si="222"/>
        <v>0</v>
      </c>
      <c r="X956" s="57" t="str">
        <f t="shared" si="223"/>
        <v/>
      </c>
      <c r="Y956" s="58">
        <f t="shared" si="224"/>
        <v>0</v>
      </c>
      <c r="AA956" s="62" t="str">
        <f t="shared" si="235"/>
        <v/>
      </c>
    </row>
    <row r="957" spans="3:27">
      <c r="C957" s="82"/>
      <c r="E957" s="30" t="str">
        <f t="shared" si="232"/>
        <v>00:00:00</v>
      </c>
      <c r="F957" s="36" t="str">
        <f t="shared" si="225"/>
        <v/>
      </c>
      <c r="G957" s="36">
        <f t="shared" si="226"/>
        <v>0</v>
      </c>
      <c r="H957" s="3" t="str">
        <f t="shared" si="227"/>
        <v/>
      </c>
      <c r="I957" s="3">
        <f t="shared" si="228"/>
        <v>0</v>
      </c>
      <c r="L957" s="35">
        <f t="shared" si="236"/>
        <v>1</v>
      </c>
      <c r="O957" s="27">
        <f t="shared" si="229"/>
        <v>0</v>
      </c>
      <c r="P957" s="3">
        <v>955</v>
      </c>
      <c r="Q957" s="3" t="e">
        <f t="shared" si="233"/>
        <v>#N/A</v>
      </c>
      <c r="R957" s="3" t="e">
        <f t="shared" si="234"/>
        <v>#N/A</v>
      </c>
      <c r="T957" s="46" t="str">
        <f t="shared" si="230"/>
        <v/>
      </c>
      <c r="U957" s="48" t="str">
        <f t="shared" si="231"/>
        <v/>
      </c>
      <c r="W957" s="56">
        <f t="shared" si="222"/>
        <v>0</v>
      </c>
      <c r="X957" s="57" t="str">
        <f t="shared" si="223"/>
        <v/>
      </c>
      <c r="Y957" s="58">
        <f t="shared" si="224"/>
        <v>0</v>
      </c>
      <c r="AA957" s="62" t="str">
        <f t="shared" si="235"/>
        <v/>
      </c>
    </row>
    <row r="958" spans="3:27">
      <c r="C958" s="82"/>
      <c r="E958" s="30" t="str">
        <f t="shared" si="232"/>
        <v>00:00:00</v>
      </c>
      <c r="F958" s="36" t="str">
        <f t="shared" si="225"/>
        <v/>
      </c>
      <c r="G958" s="36">
        <f t="shared" si="226"/>
        <v>0</v>
      </c>
      <c r="H958" s="3" t="str">
        <f t="shared" si="227"/>
        <v/>
      </c>
      <c r="I958" s="3">
        <f t="shared" si="228"/>
        <v>0</v>
      </c>
      <c r="L958" s="35">
        <f t="shared" si="236"/>
        <v>1</v>
      </c>
      <c r="O958" s="27">
        <f t="shared" si="229"/>
        <v>0</v>
      </c>
      <c r="P958" s="3">
        <v>956</v>
      </c>
      <c r="Q958" s="3" t="e">
        <f t="shared" si="233"/>
        <v>#N/A</v>
      </c>
      <c r="R958" s="3" t="e">
        <f t="shared" si="234"/>
        <v>#N/A</v>
      </c>
      <c r="T958" s="46" t="str">
        <f t="shared" si="230"/>
        <v/>
      </c>
      <c r="U958" s="48" t="str">
        <f t="shared" si="231"/>
        <v/>
      </c>
      <c r="W958" s="56">
        <f t="shared" si="222"/>
        <v>0</v>
      </c>
      <c r="X958" s="57" t="str">
        <f t="shared" si="223"/>
        <v/>
      </c>
      <c r="Y958" s="58">
        <f t="shared" si="224"/>
        <v>0</v>
      </c>
      <c r="AA958" s="62" t="str">
        <f t="shared" si="235"/>
        <v/>
      </c>
    </row>
    <row r="959" spans="3:27">
      <c r="C959" s="82"/>
      <c r="E959" s="30" t="str">
        <f t="shared" si="232"/>
        <v>00:00:00</v>
      </c>
      <c r="F959" s="36" t="str">
        <f t="shared" si="225"/>
        <v/>
      </c>
      <c r="G959" s="36">
        <f t="shared" si="226"/>
        <v>0</v>
      </c>
      <c r="H959" s="3" t="str">
        <f t="shared" si="227"/>
        <v/>
      </c>
      <c r="I959" s="3">
        <f t="shared" si="228"/>
        <v>0</v>
      </c>
      <c r="L959" s="35">
        <f t="shared" si="236"/>
        <v>1</v>
      </c>
      <c r="O959" s="27">
        <f t="shared" si="229"/>
        <v>0</v>
      </c>
      <c r="P959" s="3">
        <v>957</v>
      </c>
      <c r="Q959" s="3" t="e">
        <f t="shared" si="233"/>
        <v>#N/A</v>
      </c>
      <c r="R959" s="3" t="e">
        <f t="shared" si="234"/>
        <v>#N/A</v>
      </c>
      <c r="T959" s="46" t="str">
        <f t="shared" si="230"/>
        <v/>
      </c>
      <c r="U959" s="48" t="str">
        <f t="shared" si="231"/>
        <v/>
      </c>
      <c r="W959" s="56">
        <f t="shared" si="222"/>
        <v>0</v>
      </c>
      <c r="X959" s="57" t="str">
        <f t="shared" si="223"/>
        <v/>
      </c>
      <c r="Y959" s="58">
        <f t="shared" si="224"/>
        <v>0</v>
      </c>
      <c r="AA959" s="62" t="str">
        <f t="shared" si="235"/>
        <v/>
      </c>
    </row>
    <row r="960" spans="3:27">
      <c r="C960" s="82"/>
      <c r="E960" s="30" t="str">
        <f t="shared" si="232"/>
        <v>00:00:00</v>
      </c>
      <c r="F960" s="36" t="str">
        <f t="shared" si="225"/>
        <v/>
      </c>
      <c r="G960" s="36">
        <f t="shared" si="226"/>
        <v>0</v>
      </c>
      <c r="H960" s="3" t="str">
        <f t="shared" si="227"/>
        <v/>
      </c>
      <c r="I960" s="3">
        <f t="shared" si="228"/>
        <v>0</v>
      </c>
      <c r="L960" s="35">
        <f t="shared" si="236"/>
        <v>1</v>
      </c>
      <c r="O960" s="27">
        <f t="shared" si="229"/>
        <v>0</v>
      </c>
      <c r="P960" s="3">
        <v>958</v>
      </c>
      <c r="Q960" s="3" t="e">
        <f t="shared" si="233"/>
        <v>#N/A</v>
      </c>
      <c r="R960" s="3" t="e">
        <f t="shared" si="234"/>
        <v>#N/A</v>
      </c>
      <c r="T960" s="46" t="str">
        <f t="shared" si="230"/>
        <v/>
      </c>
      <c r="U960" s="48" t="str">
        <f t="shared" si="231"/>
        <v/>
      </c>
      <c r="W960" s="56">
        <f t="shared" si="222"/>
        <v>0</v>
      </c>
      <c r="X960" s="57" t="str">
        <f t="shared" si="223"/>
        <v/>
      </c>
      <c r="Y960" s="58">
        <f t="shared" si="224"/>
        <v>0</v>
      </c>
      <c r="AA960" s="62" t="str">
        <f t="shared" si="235"/>
        <v/>
      </c>
    </row>
    <row r="961" spans="3:27">
      <c r="C961" s="82"/>
      <c r="E961" s="30" t="str">
        <f t="shared" si="232"/>
        <v>00:00:00</v>
      </c>
      <c r="F961" s="36" t="str">
        <f t="shared" si="225"/>
        <v/>
      </c>
      <c r="G961" s="36">
        <f t="shared" si="226"/>
        <v>0</v>
      </c>
      <c r="H961" s="3" t="str">
        <f t="shared" si="227"/>
        <v/>
      </c>
      <c r="I961" s="3">
        <f t="shared" si="228"/>
        <v>0</v>
      </c>
      <c r="L961" s="35">
        <f t="shared" si="236"/>
        <v>1</v>
      </c>
      <c r="O961" s="27">
        <f t="shared" si="229"/>
        <v>0</v>
      </c>
      <c r="P961" s="3">
        <v>959</v>
      </c>
      <c r="Q961" s="3" t="e">
        <f t="shared" si="233"/>
        <v>#N/A</v>
      </c>
      <c r="R961" s="3" t="e">
        <f t="shared" si="234"/>
        <v>#N/A</v>
      </c>
      <c r="T961" s="46" t="str">
        <f t="shared" si="230"/>
        <v/>
      </c>
      <c r="U961" s="48" t="str">
        <f t="shared" si="231"/>
        <v/>
      </c>
      <c r="W961" s="56">
        <f t="shared" si="222"/>
        <v>0</v>
      </c>
      <c r="X961" s="57" t="str">
        <f t="shared" si="223"/>
        <v/>
      </c>
      <c r="Y961" s="58">
        <f t="shared" si="224"/>
        <v>0</v>
      </c>
      <c r="AA961" s="62" t="str">
        <f t="shared" si="235"/>
        <v/>
      </c>
    </row>
    <row r="962" spans="3:27">
      <c r="C962" s="82"/>
      <c r="E962" s="30" t="str">
        <f t="shared" si="232"/>
        <v>00:00:00</v>
      </c>
      <c r="F962" s="36" t="str">
        <f t="shared" si="225"/>
        <v/>
      </c>
      <c r="G962" s="36">
        <f t="shared" si="226"/>
        <v>0</v>
      </c>
      <c r="H962" s="3" t="str">
        <f t="shared" si="227"/>
        <v/>
      </c>
      <c r="I962" s="3">
        <f t="shared" si="228"/>
        <v>0</v>
      </c>
      <c r="L962" s="35">
        <f t="shared" si="236"/>
        <v>1</v>
      </c>
      <c r="O962" s="27">
        <f t="shared" si="229"/>
        <v>0</v>
      </c>
      <c r="P962" s="3">
        <v>960</v>
      </c>
      <c r="Q962" s="3" t="e">
        <f t="shared" si="233"/>
        <v>#N/A</v>
      </c>
      <c r="R962" s="3" t="e">
        <f t="shared" si="234"/>
        <v>#N/A</v>
      </c>
      <c r="T962" s="46" t="str">
        <f t="shared" si="230"/>
        <v/>
      </c>
      <c r="U962" s="48" t="str">
        <f t="shared" si="231"/>
        <v/>
      </c>
      <c r="W962" s="56">
        <f t="shared" ref="W962:W1025" si="237">IF(H962&lt;&gt;H963,1,0)</f>
        <v>0</v>
      </c>
      <c r="X962" s="57" t="str">
        <f t="shared" ref="X962:X1025" si="238">IF(W962=1,H962,"")</f>
        <v/>
      </c>
      <c r="Y962" s="58">
        <f t="shared" ref="Y962:Y1025" si="239">D962</f>
        <v>0</v>
      </c>
      <c r="AA962" s="62" t="str">
        <f t="shared" si="235"/>
        <v/>
      </c>
    </row>
    <row r="963" spans="3:27">
      <c r="C963" s="82"/>
      <c r="E963" s="30" t="str">
        <f t="shared" si="232"/>
        <v>00:00:00</v>
      </c>
      <c r="F963" s="36" t="str">
        <f t="shared" ref="F963:F1026" si="240">IF(G963=0,"",IF(G963&lt;8,1,IF(G963&lt;15,2,IF(G963&lt;22,3,4))))</f>
        <v/>
      </c>
      <c r="G963" s="36">
        <f t="shared" ref="G963:G1026" si="241">DAY(B963)</f>
        <v>0</v>
      </c>
      <c r="H963" s="3" t="str">
        <f t="shared" ref="H963:H1026" si="242">IF(ISNUMBER(B963),VLOOKUP(MONTH(B963),$J$2:$K$13,2,FALSE),"")</f>
        <v/>
      </c>
      <c r="I963" s="3">
        <f t="shared" ref="I963:I1026" si="243">IF(A963&lt;&gt;A964,1,0)</f>
        <v>0</v>
      </c>
      <c r="L963" s="35">
        <f t="shared" si="236"/>
        <v>1</v>
      </c>
      <c r="O963" s="27">
        <f t="shared" ref="O963:O1026" si="244">D963</f>
        <v>0</v>
      </c>
      <c r="P963" s="3">
        <v>961</v>
      </c>
      <c r="Q963" s="3" t="e">
        <f t="shared" si="233"/>
        <v>#N/A</v>
      </c>
      <c r="R963" s="3" t="e">
        <f t="shared" si="234"/>
        <v>#N/A</v>
      </c>
      <c r="T963" s="46" t="str">
        <f t="shared" ref="T963:T1026" si="245">IFERROR(R963,"")</f>
        <v/>
      </c>
      <c r="U963" s="48" t="str">
        <f t="shared" ref="U963:U1026" si="246">IFERROR(Q963,"")</f>
        <v/>
      </c>
      <c r="W963" s="56">
        <f t="shared" si="237"/>
        <v>0</v>
      </c>
      <c r="X963" s="57" t="str">
        <f t="shared" si="238"/>
        <v/>
      </c>
      <c r="Y963" s="58">
        <f t="shared" si="239"/>
        <v>0</v>
      </c>
      <c r="AA963" s="62" t="str">
        <f t="shared" si="235"/>
        <v/>
      </c>
    </row>
    <row r="964" spans="3:27">
      <c r="C964" s="82"/>
      <c r="E964" s="30" t="str">
        <f t="shared" ref="E964:E1027" si="247">IF(A964&lt;&gt;A963,TEXT(C964,"hh:mm:ss"),TEXT(C964+E963,"hh:mm:ss"))</f>
        <v>00:00:00</v>
      </c>
      <c r="F964" s="36" t="str">
        <f t="shared" si="240"/>
        <v/>
      </c>
      <c r="G964" s="36">
        <f t="shared" si="241"/>
        <v>0</v>
      </c>
      <c r="H964" s="3" t="str">
        <f t="shared" si="242"/>
        <v/>
      </c>
      <c r="I964" s="3">
        <f t="shared" si="243"/>
        <v>0</v>
      </c>
      <c r="L964" s="35">
        <f t="shared" si="236"/>
        <v>1</v>
      </c>
      <c r="O964" s="27">
        <f t="shared" si="244"/>
        <v>0</v>
      </c>
      <c r="P964" s="3">
        <v>962</v>
      </c>
      <c r="Q964" s="3" t="e">
        <f t="shared" ref="Q964:Q1027" si="248">VLOOKUP(P964,M:O,3,FALSE)</f>
        <v>#N/A</v>
      </c>
      <c r="R964" s="3" t="e">
        <f t="shared" ref="R964:R1027" si="249">VLOOKUP(P964,M:N,2,FALSE)</f>
        <v>#N/A</v>
      </c>
      <c r="T964" s="46" t="str">
        <f t="shared" si="245"/>
        <v/>
      </c>
      <c r="U964" s="48" t="str">
        <f t="shared" si="246"/>
        <v/>
      </c>
      <c r="W964" s="56">
        <f t="shared" si="237"/>
        <v>0</v>
      </c>
      <c r="X964" s="57" t="str">
        <f t="shared" si="238"/>
        <v/>
      </c>
      <c r="Y964" s="58">
        <f t="shared" si="239"/>
        <v>0</v>
      </c>
      <c r="AA964" s="62" t="str">
        <f t="shared" ref="AA964:AA1027" si="250">IFERROR(VLOOKUP(Z964,X:Y,2,FALSE),"")</f>
        <v/>
      </c>
    </row>
    <row r="965" spans="3:27">
      <c r="C965" s="82"/>
      <c r="E965" s="30" t="str">
        <f t="shared" si="247"/>
        <v>00:00:00</v>
      </c>
      <c r="F965" s="36" t="str">
        <f t="shared" si="240"/>
        <v/>
      </c>
      <c r="G965" s="36">
        <f t="shared" si="241"/>
        <v>0</v>
      </c>
      <c r="H965" s="3" t="str">
        <f t="shared" si="242"/>
        <v/>
      </c>
      <c r="I965" s="3">
        <f t="shared" si="243"/>
        <v>0</v>
      </c>
      <c r="L965" s="35">
        <f t="shared" si="236"/>
        <v>1</v>
      </c>
      <c r="O965" s="27">
        <f t="shared" si="244"/>
        <v>0</v>
      </c>
      <c r="P965" s="3">
        <v>963</v>
      </c>
      <c r="Q965" s="3" t="e">
        <f t="shared" si="248"/>
        <v>#N/A</v>
      </c>
      <c r="R965" s="3" t="e">
        <f t="shared" si="249"/>
        <v>#N/A</v>
      </c>
      <c r="T965" s="46" t="str">
        <f t="shared" si="245"/>
        <v/>
      </c>
      <c r="U965" s="48" t="str">
        <f t="shared" si="246"/>
        <v/>
      </c>
      <c r="W965" s="56">
        <f t="shared" si="237"/>
        <v>0</v>
      </c>
      <c r="X965" s="57" t="str">
        <f t="shared" si="238"/>
        <v/>
      </c>
      <c r="Y965" s="58">
        <f t="shared" si="239"/>
        <v>0</v>
      </c>
      <c r="AA965" s="62" t="str">
        <f t="shared" si="250"/>
        <v/>
      </c>
    </row>
    <row r="966" spans="3:27">
      <c r="C966" s="82"/>
      <c r="E966" s="30" t="str">
        <f t="shared" si="247"/>
        <v>00:00:00</v>
      </c>
      <c r="F966" s="36" t="str">
        <f t="shared" si="240"/>
        <v/>
      </c>
      <c r="G966" s="36">
        <f t="shared" si="241"/>
        <v>0</v>
      </c>
      <c r="H966" s="3" t="str">
        <f t="shared" si="242"/>
        <v/>
      </c>
      <c r="I966" s="3">
        <f t="shared" si="243"/>
        <v>0</v>
      </c>
      <c r="L966" s="35">
        <f t="shared" si="236"/>
        <v>1</v>
      </c>
      <c r="O966" s="27">
        <f t="shared" si="244"/>
        <v>0</v>
      </c>
      <c r="P966" s="3">
        <v>964</v>
      </c>
      <c r="Q966" s="3" t="e">
        <f t="shared" si="248"/>
        <v>#N/A</v>
      </c>
      <c r="R966" s="3" t="e">
        <f t="shared" si="249"/>
        <v>#N/A</v>
      </c>
      <c r="T966" s="46" t="str">
        <f t="shared" si="245"/>
        <v/>
      </c>
      <c r="U966" s="48" t="str">
        <f t="shared" si="246"/>
        <v/>
      </c>
      <c r="W966" s="56">
        <f t="shared" si="237"/>
        <v>0</v>
      </c>
      <c r="X966" s="57" t="str">
        <f t="shared" si="238"/>
        <v/>
      </c>
      <c r="Y966" s="58">
        <f t="shared" si="239"/>
        <v>0</v>
      </c>
      <c r="AA966" s="62" t="str">
        <f t="shared" si="250"/>
        <v/>
      </c>
    </row>
    <row r="967" spans="3:27">
      <c r="C967" s="82"/>
      <c r="E967" s="30" t="str">
        <f t="shared" si="247"/>
        <v>00:00:00</v>
      </c>
      <c r="F967" s="36" t="str">
        <f t="shared" si="240"/>
        <v/>
      </c>
      <c r="G967" s="36">
        <f t="shared" si="241"/>
        <v>0</v>
      </c>
      <c r="H967" s="3" t="str">
        <f t="shared" si="242"/>
        <v/>
      </c>
      <c r="I967" s="3">
        <f t="shared" si="243"/>
        <v>0</v>
      </c>
      <c r="L967" s="35">
        <f t="shared" si="236"/>
        <v>1</v>
      </c>
      <c r="O967" s="27">
        <f t="shared" si="244"/>
        <v>0</v>
      </c>
      <c r="P967" s="3">
        <v>965</v>
      </c>
      <c r="Q967" s="3" t="e">
        <f t="shared" si="248"/>
        <v>#N/A</v>
      </c>
      <c r="R967" s="3" t="e">
        <f t="shared" si="249"/>
        <v>#N/A</v>
      </c>
      <c r="T967" s="46" t="str">
        <f t="shared" si="245"/>
        <v/>
      </c>
      <c r="U967" s="48" t="str">
        <f t="shared" si="246"/>
        <v/>
      </c>
      <c r="W967" s="56">
        <f t="shared" si="237"/>
        <v>0</v>
      </c>
      <c r="X967" s="57" t="str">
        <f t="shared" si="238"/>
        <v/>
      </c>
      <c r="Y967" s="58">
        <f t="shared" si="239"/>
        <v>0</v>
      </c>
      <c r="AA967" s="62" t="str">
        <f t="shared" si="250"/>
        <v/>
      </c>
    </row>
    <row r="968" spans="3:27">
      <c r="C968" s="82"/>
      <c r="E968" s="30" t="str">
        <f t="shared" si="247"/>
        <v>00:00:00</v>
      </c>
      <c r="F968" s="36" t="str">
        <f t="shared" si="240"/>
        <v/>
      </c>
      <c r="G968" s="36">
        <f t="shared" si="241"/>
        <v>0</v>
      </c>
      <c r="H968" s="3" t="str">
        <f t="shared" si="242"/>
        <v/>
      </c>
      <c r="I968" s="3">
        <f t="shared" si="243"/>
        <v>0</v>
      </c>
      <c r="L968" s="35">
        <f t="shared" si="236"/>
        <v>1</v>
      </c>
      <c r="O968" s="27">
        <f t="shared" si="244"/>
        <v>0</v>
      </c>
      <c r="P968" s="3">
        <v>966</v>
      </c>
      <c r="Q968" s="3" t="e">
        <f t="shared" si="248"/>
        <v>#N/A</v>
      </c>
      <c r="R968" s="3" t="e">
        <f t="shared" si="249"/>
        <v>#N/A</v>
      </c>
      <c r="T968" s="46" t="str">
        <f t="shared" si="245"/>
        <v/>
      </c>
      <c r="U968" s="48" t="str">
        <f t="shared" si="246"/>
        <v/>
      </c>
      <c r="W968" s="56">
        <f t="shared" si="237"/>
        <v>0</v>
      </c>
      <c r="X968" s="57" t="str">
        <f t="shared" si="238"/>
        <v/>
      </c>
      <c r="Y968" s="58">
        <f t="shared" si="239"/>
        <v>0</v>
      </c>
      <c r="AA968" s="62" t="str">
        <f t="shared" si="250"/>
        <v/>
      </c>
    </row>
    <row r="969" spans="3:27">
      <c r="C969" s="82"/>
      <c r="E969" s="30" t="str">
        <f t="shared" si="247"/>
        <v>00:00:00</v>
      </c>
      <c r="F969" s="36" t="str">
        <f t="shared" si="240"/>
        <v/>
      </c>
      <c r="G969" s="36">
        <f t="shared" si="241"/>
        <v>0</v>
      </c>
      <c r="H969" s="3" t="str">
        <f t="shared" si="242"/>
        <v/>
      </c>
      <c r="I969" s="3">
        <f t="shared" si="243"/>
        <v>0</v>
      </c>
      <c r="L969" s="35">
        <f t="shared" si="236"/>
        <v>1</v>
      </c>
      <c r="O969" s="27">
        <f t="shared" si="244"/>
        <v>0</v>
      </c>
      <c r="P969" s="3">
        <v>967</v>
      </c>
      <c r="Q969" s="3" t="e">
        <f t="shared" si="248"/>
        <v>#N/A</v>
      </c>
      <c r="R969" s="3" t="e">
        <f t="shared" si="249"/>
        <v>#N/A</v>
      </c>
      <c r="T969" s="46" t="str">
        <f t="shared" si="245"/>
        <v/>
      </c>
      <c r="U969" s="48" t="str">
        <f t="shared" si="246"/>
        <v/>
      </c>
      <c r="W969" s="56">
        <f t="shared" si="237"/>
        <v>0</v>
      </c>
      <c r="X969" s="57" t="str">
        <f t="shared" si="238"/>
        <v/>
      </c>
      <c r="Y969" s="58">
        <f t="shared" si="239"/>
        <v>0</v>
      </c>
      <c r="AA969" s="62" t="str">
        <f t="shared" si="250"/>
        <v/>
      </c>
    </row>
    <row r="970" spans="3:27">
      <c r="C970" s="82"/>
      <c r="E970" s="30" t="str">
        <f t="shared" si="247"/>
        <v>00:00:00</v>
      </c>
      <c r="F970" s="36" t="str">
        <f t="shared" si="240"/>
        <v/>
      </c>
      <c r="G970" s="36">
        <f t="shared" si="241"/>
        <v>0</v>
      </c>
      <c r="H970" s="3" t="str">
        <f t="shared" si="242"/>
        <v/>
      </c>
      <c r="I970" s="3">
        <f t="shared" si="243"/>
        <v>0</v>
      </c>
      <c r="L970" s="35">
        <f t="shared" si="236"/>
        <v>1</v>
      </c>
      <c r="O970" s="27">
        <f t="shared" si="244"/>
        <v>0</v>
      </c>
      <c r="P970" s="3">
        <v>968</v>
      </c>
      <c r="Q970" s="3" t="e">
        <f t="shared" si="248"/>
        <v>#N/A</v>
      </c>
      <c r="R970" s="3" t="e">
        <f t="shared" si="249"/>
        <v>#N/A</v>
      </c>
      <c r="T970" s="46" t="str">
        <f t="shared" si="245"/>
        <v/>
      </c>
      <c r="U970" s="48" t="str">
        <f t="shared" si="246"/>
        <v/>
      </c>
      <c r="W970" s="56">
        <f t="shared" si="237"/>
        <v>0</v>
      </c>
      <c r="X970" s="57" t="str">
        <f t="shared" si="238"/>
        <v/>
      </c>
      <c r="Y970" s="58">
        <f t="shared" si="239"/>
        <v>0</v>
      </c>
      <c r="AA970" s="62" t="str">
        <f t="shared" si="250"/>
        <v/>
      </c>
    </row>
    <row r="971" spans="3:27">
      <c r="C971" s="82"/>
      <c r="E971" s="30" t="str">
        <f t="shared" si="247"/>
        <v>00:00:00</v>
      </c>
      <c r="F971" s="36" t="str">
        <f t="shared" si="240"/>
        <v/>
      </c>
      <c r="G971" s="36">
        <f t="shared" si="241"/>
        <v>0</v>
      </c>
      <c r="H971" s="3" t="str">
        <f t="shared" si="242"/>
        <v/>
      </c>
      <c r="I971" s="3">
        <f t="shared" si="243"/>
        <v>0</v>
      </c>
      <c r="L971" s="35">
        <f t="shared" si="236"/>
        <v>1</v>
      </c>
      <c r="O971" s="27">
        <f t="shared" si="244"/>
        <v>0</v>
      </c>
      <c r="P971" s="3">
        <v>969</v>
      </c>
      <c r="Q971" s="3" t="e">
        <f t="shared" si="248"/>
        <v>#N/A</v>
      </c>
      <c r="R971" s="3" t="e">
        <f t="shared" si="249"/>
        <v>#N/A</v>
      </c>
      <c r="T971" s="46" t="str">
        <f t="shared" si="245"/>
        <v/>
      </c>
      <c r="U971" s="48" t="str">
        <f t="shared" si="246"/>
        <v/>
      </c>
      <c r="W971" s="56">
        <f t="shared" si="237"/>
        <v>0</v>
      </c>
      <c r="X971" s="57" t="str">
        <f t="shared" si="238"/>
        <v/>
      </c>
      <c r="Y971" s="58">
        <f t="shared" si="239"/>
        <v>0</v>
      </c>
      <c r="AA971" s="62" t="str">
        <f t="shared" si="250"/>
        <v/>
      </c>
    </row>
    <row r="972" spans="3:27">
      <c r="C972" s="82"/>
      <c r="E972" s="30" t="str">
        <f t="shared" si="247"/>
        <v>00:00:00</v>
      </c>
      <c r="F972" s="36" t="str">
        <f t="shared" si="240"/>
        <v/>
      </c>
      <c r="G972" s="36">
        <f t="shared" si="241"/>
        <v>0</v>
      </c>
      <c r="H972" s="3" t="str">
        <f t="shared" si="242"/>
        <v/>
      </c>
      <c r="I972" s="3">
        <f t="shared" si="243"/>
        <v>0</v>
      </c>
      <c r="L972" s="35">
        <f t="shared" ref="L972:L1035" si="251">IF(I971=1,L971+I971,L971)</f>
        <v>1</v>
      </c>
      <c r="O972" s="27">
        <f t="shared" si="244"/>
        <v>0</v>
      </c>
      <c r="P972" s="3">
        <v>970</v>
      </c>
      <c r="Q972" s="3" t="e">
        <f t="shared" si="248"/>
        <v>#N/A</v>
      </c>
      <c r="R972" s="3" t="e">
        <f t="shared" si="249"/>
        <v>#N/A</v>
      </c>
      <c r="T972" s="46" t="str">
        <f t="shared" si="245"/>
        <v/>
      </c>
      <c r="U972" s="48" t="str">
        <f t="shared" si="246"/>
        <v/>
      </c>
      <c r="W972" s="56">
        <f t="shared" si="237"/>
        <v>0</v>
      </c>
      <c r="X972" s="57" t="str">
        <f t="shared" si="238"/>
        <v/>
      </c>
      <c r="Y972" s="58">
        <f t="shared" si="239"/>
        <v>0</v>
      </c>
      <c r="AA972" s="62" t="str">
        <f t="shared" si="250"/>
        <v/>
      </c>
    </row>
    <row r="973" spans="3:27">
      <c r="C973" s="82"/>
      <c r="E973" s="30" t="str">
        <f t="shared" si="247"/>
        <v>00:00:00</v>
      </c>
      <c r="F973" s="36" t="str">
        <f t="shared" si="240"/>
        <v/>
      </c>
      <c r="G973" s="36">
        <f t="shared" si="241"/>
        <v>0</v>
      </c>
      <c r="H973" s="3" t="str">
        <f t="shared" si="242"/>
        <v/>
      </c>
      <c r="I973" s="3">
        <f t="shared" si="243"/>
        <v>0</v>
      </c>
      <c r="L973" s="35">
        <f t="shared" si="251"/>
        <v>1</v>
      </c>
      <c r="O973" s="27">
        <f t="shared" si="244"/>
        <v>0</v>
      </c>
      <c r="P973" s="3">
        <v>971</v>
      </c>
      <c r="Q973" s="3" t="e">
        <f t="shared" si="248"/>
        <v>#N/A</v>
      </c>
      <c r="R973" s="3" t="e">
        <f t="shared" si="249"/>
        <v>#N/A</v>
      </c>
      <c r="T973" s="46" t="str">
        <f t="shared" si="245"/>
        <v/>
      </c>
      <c r="U973" s="48" t="str">
        <f t="shared" si="246"/>
        <v/>
      </c>
      <c r="W973" s="56">
        <f t="shared" si="237"/>
        <v>0</v>
      </c>
      <c r="X973" s="57" t="str">
        <f t="shared" si="238"/>
        <v/>
      </c>
      <c r="Y973" s="58">
        <f t="shared" si="239"/>
        <v>0</v>
      </c>
      <c r="AA973" s="62" t="str">
        <f t="shared" si="250"/>
        <v/>
      </c>
    </row>
    <row r="974" spans="3:27">
      <c r="C974" s="82"/>
      <c r="E974" s="30" t="str">
        <f t="shared" si="247"/>
        <v>00:00:00</v>
      </c>
      <c r="F974" s="36" t="str">
        <f t="shared" si="240"/>
        <v/>
      </c>
      <c r="G974" s="36">
        <f t="shared" si="241"/>
        <v>0</v>
      </c>
      <c r="H974" s="3" t="str">
        <f t="shared" si="242"/>
        <v/>
      </c>
      <c r="I974" s="3">
        <f t="shared" si="243"/>
        <v>0</v>
      </c>
      <c r="L974" s="35">
        <f t="shared" si="251"/>
        <v>1</v>
      </c>
      <c r="O974" s="27">
        <f t="shared" si="244"/>
        <v>0</v>
      </c>
      <c r="P974" s="3">
        <v>972</v>
      </c>
      <c r="Q974" s="3" t="e">
        <f t="shared" si="248"/>
        <v>#N/A</v>
      </c>
      <c r="R974" s="3" t="e">
        <f t="shared" si="249"/>
        <v>#N/A</v>
      </c>
      <c r="T974" s="46" t="str">
        <f t="shared" si="245"/>
        <v/>
      </c>
      <c r="U974" s="48" t="str">
        <f t="shared" si="246"/>
        <v/>
      </c>
      <c r="W974" s="56">
        <f t="shared" si="237"/>
        <v>0</v>
      </c>
      <c r="X974" s="57" t="str">
        <f t="shared" si="238"/>
        <v/>
      </c>
      <c r="Y974" s="58">
        <f t="shared" si="239"/>
        <v>0</v>
      </c>
      <c r="AA974" s="62" t="str">
        <f t="shared" si="250"/>
        <v/>
      </c>
    </row>
    <row r="975" spans="3:27">
      <c r="C975" s="82"/>
      <c r="E975" s="30" t="str">
        <f t="shared" si="247"/>
        <v>00:00:00</v>
      </c>
      <c r="F975" s="36" t="str">
        <f t="shared" si="240"/>
        <v/>
      </c>
      <c r="G975" s="36">
        <f t="shared" si="241"/>
        <v>0</v>
      </c>
      <c r="H975" s="3" t="str">
        <f t="shared" si="242"/>
        <v/>
      </c>
      <c r="I975" s="3">
        <f t="shared" si="243"/>
        <v>0</v>
      </c>
      <c r="L975" s="35">
        <f t="shared" si="251"/>
        <v>1</v>
      </c>
      <c r="O975" s="27">
        <f t="shared" si="244"/>
        <v>0</v>
      </c>
      <c r="P975" s="3">
        <v>973</v>
      </c>
      <c r="Q975" s="3" t="e">
        <f t="shared" si="248"/>
        <v>#N/A</v>
      </c>
      <c r="R975" s="3" t="e">
        <f t="shared" si="249"/>
        <v>#N/A</v>
      </c>
      <c r="T975" s="46" t="str">
        <f t="shared" si="245"/>
        <v/>
      </c>
      <c r="U975" s="48" t="str">
        <f t="shared" si="246"/>
        <v/>
      </c>
      <c r="W975" s="56">
        <f t="shared" si="237"/>
        <v>0</v>
      </c>
      <c r="X975" s="57" t="str">
        <f t="shared" si="238"/>
        <v/>
      </c>
      <c r="Y975" s="58">
        <f t="shared" si="239"/>
        <v>0</v>
      </c>
      <c r="AA975" s="62" t="str">
        <f t="shared" si="250"/>
        <v/>
      </c>
    </row>
    <row r="976" spans="3:27">
      <c r="C976" s="82"/>
      <c r="E976" s="30" t="str">
        <f t="shared" si="247"/>
        <v>00:00:00</v>
      </c>
      <c r="F976" s="36" t="str">
        <f t="shared" si="240"/>
        <v/>
      </c>
      <c r="G976" s="36">
        <f t="shared" si="241"/>
        <v>0</v>
      </c>
      <c r="H976" s="3" t="str">
        <f t="shared" si="242"/>
        <v/>
      </c>
      <c r="I976" s="3">
        <f t="shared" si="243"/>
        <v>0</v>
      </c>
      <c r="L976" s="35">
        <f t="shared" si="251"/>
        <v>1</v>
      </c>
      <c r="O976" s="27">
        <f t="shared" si="244"/>
        <v>0</v>
      </c>
      <c r="P976" s="3">
        <v>974</v>
      </c>
      <c r="Q976" s="3" t="e">
        <f t="shared" si="248"/>
        <v>#N/A</v>
      </c>
      <c r="R976" s="3" t="e">
        <f t="shared" si="249"/>
        <v>#N/A</v>
      </c>
      <c r="T976" s="46" t="str">
        <f t="shared" si="245"/>
        <v/>
      </c>
      <c r="U976" s="48" t="str">
        <f t="shared" si="246"/>
        <v/>
      </c>
      <c r="W976" s="56">
        <f t="shared" si="237"/>
        <v>0</v>
      </c>
      <c r="X976" s="57" t="str">
        <f t="shared" si="238"/>
        <v/>
      </c>
      <c r="Y976" s="58">
        <f t="shared" si="239"/>
        <v>0</v>
      </c>
      <c r="AA976" s="62" t="str">
        <f t="shared" si="250"/>
        <v/>
      </c>
    </row>
    <row r="977" spans="3:27">
      <c r="C977" s="82"/>
      <c r="E977" s="30" t="str">
        <f t="shared" si="247"/>
        <v>00:00:00</v>
      </c>
      <c r="F977" s="36" t="str">
        <f t="shared" si="240"/>
        <v/>
      </c>
      <c r="G977" s="36">
        <f t="shared" si="241"/>
        <v>0</v>
      </c>
      <c r="H977" s="3" t="str">
        <f t="shared" si="242"/>
        <v/>
      </c>
      <c r="I977" s="3">
        <f t="shared" si="243"/>
        <v>0</v>
      </c>
      <c r="L977" s="35">
        <f t="shared" si="251"/>
        <v>1</v>
      </c>
      <c r="O977" s="27">
        <f t="shared" si="244"/>
        <v>0</v>
      </c>
      <c r="P977" s="3">
        <v>975</v>
      </c>
      <c r="Q977" s="3" t="e">
        <f t="shared" si="248"/>
        <v>#N/A</v>
      </c>
      <c r="R977" s="3" t="e">
        <f t="shared" si="249"/>
        <v>#N/A</v>
      </c>
      <c r="T977" s="46" t="str">
        <f t="shared" si="245"/>
        <v/>
      </c>
      <c r="U977" s="48" t="str">
        <f t="shared" si="246"/>
        <v/>
      </c>
      <c r="W977" s="56">
        <f t="shared" si="237"/>
        <v>0</v>
      </c>
      <c r="X977" s="57" t="str">
        <f t="shared" si="238"/>
        <v/>
      </c>
      <c r="Y977" s="58">
        <f t="shared" si="239"/>
        <v>0</v>
      </c>
      <c r="AA977" s="62" t="str">
        <f t="shared" si="250"/>
        <v/>
      </c>
    </row>
    <row r="978" spans="3:27">
      <c r="C978" s="82"/>
      <c r="E978" s="30" t="str">
        <f t="shared" si="247"/>
        <v>00:00:00</v>
      </c>
      <c r="F978" s="36" t="str">
        <f t="shared" si="240"/>
        <v/>
      </c>
      <c r="G978" s="36">
        <f t="shared" si="241"/>
        <v>0</v>
      </c>
      <c r="H978" s="3" t="str">
        <f t="shared" si="242"/>
        <v/>
      </c>
      <c r="I978" s="3">
        <f t="shared" si="243"/>
        <v>0</v>
      </c>
      <c r="L978" s="35">
        <f t="shared" si="251"/>
        <v>1</v>
      </c>
      <c r="O978" s="27">
        <f t="shared" si="244"/>
        <v>0</v>
      </c>
      <c r="P978" s="3">
        <v>976</v>
      </c>
      <c r="Q978" s="3" t="e">
        <f t="shared" si="248"/>
        <v>#N/A</v>
      </c>
      <c r="R978" s="3" t="e">
        <f t="shared" si="249"/>
        <v>#N/A</v>
      </c>
      <c r="T978" s="46" t="str">
        <f t="shared" si="245"/>
        <v/>
      </c>
      <c r="U978" s="48" t="str">
        <f t="shared" si="246"/>
        <v/>
      </c>
      <c r="W978" s="56">
        <f t="shared" si="237"/>
        <v>0</v>
      </c>
      <c r="X978" s="57" t="str">
        <f t="shared" si="238"/>
        <v/>
      </c>
      <c r="Y978" s="58">
        <f t="shared" si="239"/>
        <v>0</v>
      </c>
      <c r="AA978" s="62" t="str">
        <f t="shared" si="250"/>
        <v/>
      </c>
    </row>
    <row r="979" spans="3:27">
      <c r="C979" s="82"/>
      <c r="E979" s="30" t="str">
        <f t="shared" si="247"/>
        <v>00:00:00</v>
      </c>
      <c r="F979" s="36" t="str">
        <f t="shared" si="240"/>
        <v/>
      </c>
      <c r="G979" s="36">
        <f t="shared" si="241"/>
        <v>0</v>
      </c>
      <c r="H979" s="3" t="str">
        <f t="shared" si="242"/>
        <v/>
      </c>
      <c r="I979" s="3">
        <f t="shared" si="243"/>
        <v>0</v>
      </c>
      <c r="L979" s="35">
        <f t="shared" si="251"/>
        <v>1</v>
      </c>
      <c r="O979" s="27">
        <f t="shared" si="244"/>
        <v>0</v>
      </c>
      <c r="P979" s="3">
        <v>977</v>
      </c>
      <c r="Q979" s="3" t="e">
        <f t="shared" si="248"/>
        <v>#N/A</v>
      </c>
      <c r="R979" s="3" t="e">
        <f t="shared" si="249"/>
        <v>#N/A</v>
      </c>
      <c r="T979" s="46" t="str">
        <f t="shared" si="245"/>
        <v/>
      </c>
      <c r="U979" s="48" t="str">
        <f t="shared" si="246"/>
        <v/>
      </c>
      <c r="W979" s="56">
        <f t="shared" si="237"/>
        <v>0</v>
      </c>
      <c r="X979" s="57" t="str">
        <f t="shared" si="238"/>
        <v/>
      </c>
      <c r="Y979" s="58">
        <f t="shared" si="239"/>
        <v>0</v>
      </c>
      <c r="AA979" s="62" t="str">
        <f t="shared" si="250"/>
        <v/>
      </c>
    </row>
    <row r="980" spans="3:27">
      <c r="C980" s="82"/>
      <c r="E980" s="30" t="str">
        <f t="shared" si="247"/>
        <v>00:00:00</v>
      </c>
      <c r="F980" s="36" t="str">
        <f t="shared" si="240"/>
        <v/>
      </c>
      <c r="G980" s="36">
        <f t="shared" si="241"/>
        <v>0</v>
      </c>
      <c r="H980" s="3" t="str">
        <f t="shared" si="242"/>
        <v/>
      </c>
      <c r="I980" s="3">
        <f t="shared" si="243"/>
        <v>0</v>
      </c>
      <c r="L980" s="35">
        <f t="shared" si="251"/>
        <v>1</v>
      </c>
      <c r="O980" s="27">
        <f t="shared" si="244"/>
        <v>0</v>
      </c>
      <c r="P980" s="3">
        <v>978</v>
      </c>
      <c r="Q980" s="3" t="e">
        <f t="shared" si="248"/>
        <v>#N/A</v>
      </c>
      <c r="R980" s="3" t="e">
        <f t="shared" si="249"/>
        <v>#N/A</v>
      </c>
      <c r="T980" s="46" t="str">
        <f t="shared" si="245"/>
        <v/>
      </c>
      <c r="U980" s="48" t="str">
        <f t="shared" si="246"/>
        <v/>
      </c>
      <c r="W980" s="56">
        <f t="shared" si="237"/>
        <v>0</v>
      </c>
      <c r="X980" s="57" t="str">
        <f t="shared" si="238"/>
        <v/>
      </c>
      <c r="Y980" s="58">
        <f t="shared" si="239"/>
        <v>0</v>
      </c>
      <c r="AA980" s="62" t="str">
        <f t="shared" si="250"/>
        <v/>
      </c>
    </row>
    <row r="981" spans="3:27">
      <c r="C981" s="82"/>
      <c r="E981" s="30" t="str">
        <f t="shared" si="247"/>
        <v>00:00:00</v>
      </c>
      <c r="F981" s="36" t="str">
        <f t="shared" si="240"/>
        <v/>
      </c>
      <c r="G981" s="36">
        <f t="shared" si="241"/>
        <v>0</v>
      </c>
      <c r="H981" s="3" t="str">
        <f t="shared" si="242"/>
        <v/>
      </c>
      <c r="I981" s="3">
        <f t="shared" si="243"/>
        <v>0</v>
      </c>
      <c r="L981" s="35">
        <f t="shared" si="251"/>
        <v>1</v>
      </c>
      <c r="O981" s="27">
        <f t="shared" si="244"/>
        <v>0</v>
      </c>
      <c r="P981" s="3">
        <v>979</v>
      </c>
      <c r="Q981" s="3" t="e">
        <f t="shared" si="248"/>
        <v>#N/A</v>
      </c>
      <c r="R981" s="3" t="e">
        <f t="shared" si="249"/>
        <v>#N/A</v>
      </c>
      <c r="T981" s="46" t="str">
        <f t="shared" si="245"/>
        <v/>
      </c>
      <c r="U981" s="48" t="str">
        <f t="shared" si="246"/>
        <v/>
      </c>
      <c r="W981" s="56">
        <f t="shared" si="237"/>
        <v>0</v>
      </c>
      <c r="X981" s="57" t="str">
        <f t="shared" si="238"/>
        <v/>
      </c>
      <c r="Y981" s="58">
        <f t="shared" si="239"/>
        <v>0</v>
      </c>
      <c r="AA981" s="62" t="str">
        <f t="shared" si="250"/>
        <v/>
      </c>
    </row>
    <row r="982" spans="3:27">
      <c r="C982" s="82"/>
      <c r="E982" s="30" t="str">
        <f t="shared" si="247"/>
        <v>00:00:00</v>
      </c>
      <c r="F982" s="36" t="str">
        <f t="shared" si="240"/>
        <v/>
      </c>
      <c r="G982" s="36">
        <f t="shared" si="241"/>
        <v>0</v>
      </c>
      <c r="H982" s="3" t="str">
        <f t="shared" si="242"/>
        <v/>
      </c>
      <c r="I982" s="3">
        <f t="shared" si="243"/>
        <v>0</v>
      </c>
      <c r="L982" s="35">
        <f t="shared" si="251"/>
        <v>1</v>
      </c>
      <c r="O982" s="27">
        <f t="shared" si="244"/>
        <v>0</v>
      </c>
      <c r="P982" s="3">
        <v>980</v>
      </c>
      <c r="Q982" s="3" t="e">
        <f t="shared" si="248"/>
        <v>#N/A</v>
      </c>
      <c r="R982" s="3" t="e">
        <f t="shared" si="249"/>
        <v>#N/A</v>
      </c>
      <c r="T982" s="46" t="str">
        <f t="shared" si="245"/>
        <v/>
      </c>
      <c r="U982" s="48" t="str">
        <f t="shared" si="246"/>
        <v/>
      </c>
      <c r="W982" s="56">
        <f t="shared" si="237"/>
        <v>0</v>
      </c>
      <c r="X982" s="57" t="str">
        <f t="shared" si="238"/>
        <v/>
      </c>
      <c r="Y982" s="58">
        <f t="shared" si="239"/>
        <v>0</v>
      </c>
      <c r="AA982" s="62" t="str">
        <f t="shared" si="250"/>
        <v/>
      </c>
    </row>
    <row r="983" spans="3:27">
      <c r="C983" s="82"/>
      <c r="E983" s="30" t="str">
        <f t="shared" si="247"/>
        <v>00:00:00</v>
      </c>
      <c r="F983" s="36" t="str">
        <f t="shared" si="240"/>
        <v/>
      </c>
      <c r="G983" s="36">
        <f t="shared" si="241"/>
        <v>0</v>
      </c>
      <c r="H983" s="3" t="str">
        <f t="shared" si="242"/>
        <v/>
      </c>
      <c r="I983" s="3">
        <f t="shared" si="243"/>
        <v>0</v>
      </c>
      <c r="L983" s="35">
        <f t="shared" si="251"/>
        <v>1</v>
      </c>
      <c r="O983" s="27">
        <f t="shared" si="244"/>
        <v>0</v>
      </c>
      <c r="P983" s="3">
        <v>981</v>
      </c>
      <c r="Q983" s="3" t="e">
        <f t="shared" si="248"/>
        <v>#N/A</v>
      </c>
      <c r="R983" s="3" t="e">
        <f t="shared" si="249"/>
        <v>#N/A</v>
      </c>
      <c r="T983" s="46" t="str">
        <f t="shared" si="245"/>
        <v/>
      </c>
      <c r="U983" s="48" t="str">
        <f t="shared" si="246"/>
        <v/>
      </c>
      <c r="W983" s="56">
        <f t="shared" si="237"/>
        <v>0</v>
      </c>
      <c r="X983" s="57" t="str">
        <f t="shared" si="238"/>
        <v/>
      </c>
      <c r="Y983" s="58">
        <f t="shared" si="239"/>
        <v>0</v>
      </c>
      <c r="AA983" s="62" t="str">
        <f t="shared" si="250"/>
        <v/>
      </c>
    </row>
    <row r="984" spans="3:27">
      <c r="C984" s="82"/>
      <c r="E984" s="30" t="str">
        <f t="shared" si="247"/>
        <v>00:00:00</v>
      </c>
      <c r="F984" s="36" t="str">
        <f t="shared" si="240"/>
        <v/>
      </c>
      <c r="G984" s="36">
        <f t="shared" si="241"/>
        <v>0</v>
      </c>
      <c r="H984" s="3" t="str">
        <f t="shared" si="242"/>
        <v/>
      </c>
      <c r="I984" s="3">
        <f t="shared" si="243"/>
        <v>0</v>
      </c>
      <c r="L984" s="35">
        <f t="shared" si="251"/>
        <v>1</v>
      </c>
      <c r="O984" s="27">
        <f t="shared" si="244"/>
        <v>0</v>
      </c>
      <c r="P984" s="3">
        <v>982</v>
      </c>
      <c r="Q984" s="3" t="e">
        <f t="shared" si="248"/>
        <v>#N/A</v>
      </c>
      <c r="R984" s="3" t="e">
        <f t="shared" si="249"/>
        <v>#N/A</v>
      </c>
      <c r="T984" s="46" t="str">
        <f t="shared" si="245"/>
        <v/>
      </c>
      <c r="U984" s="48" t="str">
        <f t="shared" si="246"/>
        <v/>
      </c>
      <c r="W984" s="56">
        <f t="shared" si="237"/>
        <v>0</v>
      </c>
      <c r="X984" s="57" t="str">
        <f t="shared" si="238"/>
        <v/>
      </c>
      <c r="Y984" s="58">
        <f t="shared" si="239"/>
        <v>0</v>
      </c>
      <c r="AA984" s="62" t="str">
        <f t="shared" si="250"/>
        <v/>
      </c>
    </row>
    <row r="985" spans="3:27">
      <c r="C985" s="82"/>
      <c r="E985" s="30" t="str">
        <f t="shared" si="247"/>
        <v>00:00:00</v>
      </c>
      <c r="F985" s="36" t="str">
        <f t="shared" si="240"/>
        <v/>
      </c>
      <c r="G985" s="36">
        <f t="shared" si="241"/>
        <v>0</v>
      </c>
      <c r="H985" s="3" t="str">
        <f t="shared" si="242"/>
        <v/>
      </c>
      <c r="I985" s="3">
        <f t="shared" si="243"/>
        <v>0</v>
      </c>
      <c r="L985" s="35">
        <f t="shared" si="251"/>
        <v>1</v>
      </c>
      <c r="O985" s="27">
        <f t="shared" si="244"/>
        <v>0</v>
      </c>
      <c r="P985" s="3">
        <v>983</v>
      </c>
      <c r="Q985" s="3" t="e">
        <f t="shared" si="248"/>
        <v>#N/A</v>
      </c>
      <c r="R985" s="3" t="e">
        <f t="shared" si="249"/>
        <v>#N/A</v>
      </c>
      <c r="T985" s="46" t="str">
        <f t="shared" si="245"/>
        <v/>
      </c>
      <c r="U985" s="48" t="str">
        <f t="shared" si="246"/>
        <v/>
      </c>
      <c r="W985" s="56">
        <f t="shared" si="237"/>
        <v>0</v>
      </c>
      <c r="X985" s="57" t="str">
        <f t="shared" si="238"/>
        <v/>
      </c>
      <c r="Y985" s="58">
        <f t="shared" si="239"/>
        <v>0</v>
      </c>
      <c r="AA985" s="62" t="str">
        <f t="shared" si="250"/>
        <v/>
      </c>
    </row>
    <row r="986" spans="3:27">
      <c r="C986" s="82"/>
      <c r="E986" s="30" t="str">
        <f t="shared" si="247"/>
        <v>00:00:00</v>
      </c>
      <c r="F986" s="36" t="str">
        <f t="shared" si="240"/>
        <v/>
      </c>
      <c r="G986" s="36">
        <f t="shared" si="241"/>
        <v>0</v>
      </c>
      <c r="H986" s="3" t="str">
        <f t="shared" si="242"/>
        <v/>
      </c>
      <c r="I986" s="3">
        <f t="shared" si="243"/>
        <v>0</v>
      </c>
      <c r="L986" s="35">
        <f t="shared" si="251"/>
        <v>1</v>
      </c>
      <c r="O986" s="27">
        <f t="shared" si="244"/>
        <v>0</v>
      </c>
      <c r="P986" s="3">
        <v>984</v>
      </c>
      <c r="Q986" s="3" t="e">
        <f t="shared" si="248"/>
        <v>#N/A</v>
      </c>
      <c r="R986" s="3" t="e">
        <f t="shared" si="249"/>
        <v>#N/A</v>
      </c>
      <c r="T986" s="46" t="str">
        <f t="shared" si="245"/>
        <v/>
      </c>
      <c r="U986" s="48" t="str">
        <f t="shared" si="246"/>
        <v/>
      </c>
      <c r="W986" s="56">
        <f t="shared" si="237"/>
        <v>0</v>
      </c>
      <c r="X986" s="57" t="str">
        <f t="shared" si="238"/>
        <v/>
      </c>
      <c r="Y986" s="58">
        <f t="shared" si="239"/>
        <v>0</v>
      </c>
      <c r="AA986" s="62" t="str">
        <f t="shared" si="250"/>
        <v/>
      </c>
    </row>
    <row r="987" spans="3:27">
      <c r="C987" s="82"/>
      <c r="E987" s="30" t="str">
        <f t="shared" si="247"/>
        <v>00:00:00</v>
      </c>
      <c r="F987" s="36" t="str">
        <f t="shared" si="240"/>
        <v/>
      </c>
      <c r="G987" s="36">
        <f t="shared" si="241"/>
        <v>0</v>
      </c>
      <c r="H987" s="3" t="str">
        <f t="shared" si="242"/>
        <v/>
      </c>
      <c r="I987" s="3">
        <f t="shared" si="243"/>
        <v>0</v>
      </c>
      <c r="L987" s="35">
        <f t="shared" si="251"/>
        <v>1</v>
      </c>
      <c r="O987" s="27">
        <f t="shared" si="244"/>
        <v>0</v>
      </c>
      <c r="P987" s="3">
        <v>985</v>
      </c>
      <c r="Q987" s="3" t="e">
        <f t="shared" si="248"/>
        <v>#N/A</v>
      </c>
      <c r="R987" s="3" t="e">
        <f t="shared" si="249"/>
        <v>#N/A</v>
      </c>
      <c r="T987" s="46" t="str">
        <f t="shared" si="245"/>
        <v/>
      </c>
      <c r="U987" s="48" t="str">
        <f t="shared" si="246"/>
        <v/>
      </c>
      <c r="W987" s="56">
        <f t="shared" si="237"/>
        <v>0</v>
      </c>
      <c r="X987" s="57" t="str">
        <f t="shared" si="238"/>
        <v/>
      </c>
      <c r="Y987" s="58">
        <f t="shared" si="239"/>
        <v>0</v>
      </c>
      <c r="AA987" s="62" t="str">
        <f t="shared" si="250"/>
        <v/>
      </c>
    </row>
    <row r="988" spans="3:27">
      <c r="C988" s="82"/>
      <c r="E988" s="30" t="str">
        <f t="shared" si="247"/>
        <v>00:00:00</v>
      </c>
      <c r="F988" s="36" t="str">
        <f t="shared" si="240"/>
        <v/>
      </c>
      <c r="G988" s="36">
        <f t="shared" si="241"/>
        <v>0</v>
      </c>
      <c r="H988" s="3" t="str">
        <f t="shared" si="242"/>
        <v/>
      </c>
      <c r="I988" s="3">
        <f t="shared" si="243"/>
        <v>0</v>
      </c>
      <c r="L988" s="35">
        <f t="shared" si="251"/>
        <v>1</v>
      </c>
      <c r="O988" s="27">
        <f t="shared" si="244"/>
        <v>0</v>
      </c>
      <c r="P988" s="3">
        <v>986</v>
      </c>
      <c r="Q988" s="3" t="e">
        <f t="shared" si="248"/>
        <v>#N/A</v>
      </c>
      <c r="R988" s="3" t="e">
        <f t="shared" si="249"/>
        <v>#N/A</v>
      </c>
      <c r="T988" s="46" t="str">
        <f t="shared" si="245"/>
        <v/>
      </c>
      <c r="U988" s="48" t="str">
        <f t="shared" si="246"/>
        <v/>
      </c>
      <c r="W988" s="56">
        <f t="shared" si="237"/>
        <v>0</v>
      </c>
      <c r="X988" s="57" t="str">
        <f t="shared" si="238"/>
        <v/>
      </c>
      <c r="Y988" s="58">
        <f t="shared" si="239"/>
        <v>0</v>
      </c>
      <c r="AA988" s="62" t="str">
        <f t="shared" si="250"/>
        <v/>
      </c>
    </row>
    <row r="989" spans="3:27">
      <c r="C989" s="82"/>
      <c r="E989" s="30" t="str">
        <f t="shared" si="247"/>
        <v>00:00:00</v>
      </c>
      <c r="F989" s="36" t="str">
        <f t="shared" si="240"/>
        <v/>
      </c>
      <c r="G989" s="36">
        <f t="shared" si="241"/>
        <v>0</v>
      </c>
      <c r="H989" s="3" t="str">
        <f t="shared" si="242"/>
        <v/>
      </c>
      <c r="I989" s="3">
        <f t="shared" si="243"/>
        <v>0</v>
      </c>
      <c r="L989" s="35">
        <f t="shared" si="251"/>
        <v>1</v>
      </c>
      <c r="O989" s="27">
        <f t="shared" si="244"/>
        <v>0</v>
      </c>
      <c r="P989" s="3">
        <v>987</v>
      </c>
      <c r="Q989" s="3" t="e">
        <f t="shared" si="248"/>
        <v>#N/A</v>
      </c>
      <c r="R989" s="3" t="e">
        <f t="shared" si="249"/>
        <v>#N/A</v>
      </c>
      <c r="T989" s="46" t="str">
        <f t="shared" si="245"/>
        <v/>
      </c>
      <c r="U989" s="48" t="str">
        <f t="shared" si="246"/>
        <v/>
      </c>
      <c r="W989" s="56">
        <f t="shared" si="237"/>
        <v>0</v>
      </c>
      <c r="X989" s="57" t="str">
        <f t="shared" si="238"/>
        <v/>
      </c>
      <c r="Y989" s="58">
        <f t="shared" si="239"/>
        <v>0</v>
      </c>
      <c r="AA989" s="62" t="str">
        <f t="shared" si="250"/>
        <v/>
      </c>
    </row>
    <row r="990" spans="3:27">
      <c r="C990" s="82"/>
      <c r="E990" s="30" t="str">
        <f t="shared" si="247"/>
        <v>00:00:00</v>
      </c>
      <c r="F990" s="36" t="str">
        <f t="shared" si="240"/>
        <v/>
      </c>
      <c r="G990" s="36">
        <f t="shared" si="241"/>
        <v>0</v>
      </c>
      <c r="H990" s="3" t="str">
        <f t="shared" si="242"/>
        <v/>
      </c>
      <c r="I990" s="3">
        <f t="shared" si="243"/>
        <v>0</v>
      </c>
      <c r="L990" s="35">
        <f t="shared" si="251"/>
        <v>1</v>
      </c>
      <c r="O990" s="27">
        <f t="shared" si="244"/>
        <v>0</v>
      </c>
      <c r="P990" s="3">
        <v>988</v>
      </c>
      <c r="Q990" s="3" t="e">
        <f t="shared" si="248"/>
        <v>#N/A</v>
      </c>
      <c r="R990" s="3" t="e">
        <f t="shared" si="249"/>
        <v>#N/A</v>
      </c>
      <c r="T990" s="46" t="str">
        <f t="shared" si="245"/>
        <v/>
      </c>
      <c r="U990" s="48" t="str">
        <f t="shared" si="246"/>
        <v/>
      </c>
      <c r="W990" s="56">
        <f t="shared" si="237"/>
        <v>0</v>
      </c>
      <c r="X990" s="57" t="str">
        <f t="shared" si="238"/>
        <v/>
      </c>
      <c r="Y990" s="58">
        <f t="shared" si="239"/>
        <v>0</v>
      </c>
      <c r="AA990" s="62" t="str">
        <f t="shared" si="250"/>
        <v/>
      </c>
    </row>
    <row r="991" spans="3:27">
      <c r="C991" s="82"/>
      <c r="E991" s="30" t="str">
        <f t="shared" si="247"/>
        <v>00:00:00</v>
      </c>
      <c r="F991" s="36" t="str">
        <f t="shared" si="240"/>
        <v/>
      </c>
      <c r="G991" s="36">
        <f t="shared" si="241"/>
        <v>0</v>
      </c>
      <c r="H991" s="3" t="str">
        <f t="shared" si="242"/>
        <v/>
      </c>
      <c r="I991" s="3">
        <f t="shared" si="243"/>
        <v>0</v>
      </c>
      <c r="L991" s="35">
        <f t="shared" si="251"/>
        <v>1</v>
      </c>
      <c r="O991" s="27">
        <f t="shared" si="244"/>
        <v>0</v>
      </c>
      <c r="P991" s="3">
        <v>989</v>
      </c>
      <c r="Q991" s="3" t="e">
        <f t="shared" si="248"/>
        <v>#N/A</v>
      </c>
      <c r="R991" s="3" t="e">
        <f t="shared" si="249"/>
        <v>#N/A</v>
      </c>
      <c r="T991" s="46" t="str">
        <f t="shared" si="245"/>
        <v/>
      </c>
      <c r="U991" s="48" t="str">
        <f t="shared" si="246"/>
        <v/>
      </c>
      <c r="W991" s="56">
        <f t="shared" si="237"/>
        <v>0</v>
      </c>
      <c r="X991" s="57" t="str">
        <f t="shared" si="238"/>
        <v/>
      </c>
      <c r="Y991" s="58">
        <f t="shared" si="239"/>
        <v>0</v>
      </c>
      <c r="AA991" s="62" t="str">
        <f t="shared" si="250"/>
        <v/>
      </c>
    </row>
    <row r="992" spans="3:27">
      <c r="C992" s="82"/>
      <c r="E992" s="30" t="str">
        <f t="shared" si="247"/>
        <v>00:00:00</v>
      </c>
      <c r="F992" s="36" t="str">
        <f t="shared" si="240"/>
        <v/>
      </c>
      <c r="G992" s="36">
        <f t="shared" si="241"/>
        <v>0</v>
      </c>
      <c r="H992" s="3" t="str">
        <f t="shared" si="242"/>
        <v/>
      </c>
      <c r="I992" s="3">
        <f t="shared" si="243"/>
        <v>0</v>
      </c>
      <c r="L992" s="35">
        <f t="shared" si="251"/>
        <v>1</v>
      </c>
      <c r="O992" s="27">
        <f t="shared" si="244"/>
        <v>0</v>
      </c>
      <c r="P992" s="3">
        <v>990</v>
      </c>
      <c r="Q992" s="3" t="e">
        <f t="shared" si="248"/>
        <v>#N/A</v>
      </c>
      <c r="R992" s="3" t="e">
        <f t="shared" si="249"/>
        <v>#N/A</v>
      </c>
      <c r="T992" s="46" t="str">
        <f t="shared" si="245"/>
        <v/>
      </c>
      <c r="U992" s="48" t="str">
        <f t="shared" si="246"/>
        <v/>
      </c>
      <c r="W992" s="56">
        <f t="shared" si="237"/>
        <v>0</v>
      </c>
      <c r="X992" s="57" t="str">
        <f t="shared" si="238"/>
        <v/>
      </c>
      <c r="Y992" s="58">
        <f t="shared" si="239"/>
        <v>0</v>
      </c>
      <c r="AA992" s="62" t="str">
        <f t="shared" si="250"/>
        <v/>
      </c>
    </row>
    <row r="993" spans="3:27">
      <c r="C993" s="82"/>
      <c r="E993" s="30" t="str">
        <f t="shared" si="247"/>
        <v>00:00:00</v>
      </c>
      <c r="F993" s="36" t="str">
        <f t="shared" si="240"/>
        <v/>
      </c>
      <c r="G993" s="36">
        <f t="shared" si="241"/>
        <v>0</v>
      </c>
      <c r="H993" s="3" t="str">
        <f t="shared" si="242"/>
        <v/>
      </c>
      <c r="I993" s="3">
        <f t="shared" si="243"/>
        <v>0</v>
      </c>
      <c r="L993" s="35">
        <f t="shared" si="251"/>
        <v>1</v>
      </c>
      <c r="O993" s="27">
        <f t="shared" si="244"/>
        <v>0</v>
      </c>
      <c r="P993" s="3">
        <v>991</v>
      </c>
      <c r="Q993" s="3" t="e">
        <f t="shared" si="248"/>
        <v>#N/A</v>
      </c>
      <c r="R993" s="3" t="e">
        <f t="shared" si="249"/>
        <v>#N/A</v>
      </c>
      <c r="T993" s="46" t="str">
        <f t="shared" si="245"/>
        <v/>
      </c>
      <c r="U993" s="48" t="str">
        <f t="shared" si="246"/>
        <v/>
      </c>
      <c r="W993" s="56">
        <f t="shared" si="237"/>
        <v>0</v>
      </c>
      <c r="X993" s="57" t="str">
        <f t="shared" si="238"/>
        <v/>
      </c>
      <c r="Y993" s="58">
        <f t="shared" si="239"/>
        <v>0</v>
      </c>
      <c r="AA993" s="62" t="str">
        <f t="shared" si="250"/>
        <v/>
      </c>
    </row>
    <row r="994" spans="3:27">
      <c r="C994" s="82"/>
      <c r="E994" s="30" t="str">
        <f t="shared" si="247"/>
        <v>00:00:00</v>
      </c>
      <c r="F994" s="36" t="str">
        <f t="shared" si="240"/>
        <v/>
      </c>
      <c r="G994" s="36">
        <f t="shared" si="241"/>
        <v>0</v>
      </c>
      <c r="H994" s="3" t="str">
        <f t="shared" si="242"/>
        <v/>
      </c>
      <c r="I994" s="3">
        <f t="shared" si="243"/>
        <v>0</v>
      </c>
      <c r="L994" s="35">
        <f t="shared" si="251"/>
        <v>1</v>
      </c>
      <c r="O994" s="27">
        <f t="shared" si="244"/>
        <v>0</v>
      </c>
      <c r="P994" s="3">
        <v>992</v>
      </c>
      <c r="Q994" s="3" t="e">
        <f t="shared" si="248"/>
        <v>#N/A</v>
      </c>
      <c r="R994" s="3" t="e">
        <f t="shared" si="249"/>
        <v>#N/A</v>
      </c>
      <c r="T994" s="46" t="str">
        <f t="shared" si="245"/>
        <v/>
      </c>
      <c r="U994" s="48" t="str">
        <f t="shared" si="246"/>
        <v/>
      </c>
      <c r="W994" s="56">
        <f t="shared" si="237"/>
        <v>0</v>
      </c>
      <c r="X994" s="57" t="str">
        <f t="shared" si="238"/>
        <v/>
      </c>
      <c r="Y994" s="58">
        <f t="shared" si="239"/>
        <v>0</v>
      </c>
      <c r="AA994" s="62" t="str">
        <f t="shared" si="250"/>
        <v/>
      </c>
    </row>
    <row r="995" spans="3:27">
      <c r="C995" s="82"/>
      <c r="E995" s="30" t="str">
        <f t="shared" si="247"/>
        <v>00:00:00</v>
      </c>
      <c r="F995" s="36" t="str">
        <f t="shared" si="240"/>
        <v/>
      </c>
      <c r="G995" s="36">
        <f t="shared" si="241"/>
        <v>0</v>
      </c>
      <c r="H995" s="3" t="str">
        <f t="shared" si="242"/>
        <v/>
      </c>
      <c r="I995" s="3">
        <f t="shared" si="243"/>
        <v>0</v>
      </c>
      <c r="L995" s="35">
        <f t="shared" si="251"/>
        <v>1</v>
      </c>
      <c r="O995" s="27">
        <f t="shared" si="244"/>
        <v>0</v>
      </c>
      <c r="P995" s="3">
        <v>993</v>
      </c>
      <c r="Q995" s="3" t="e">
        <f t="shared" si="248"/>
        <v>#N/A</v>
      </c>
      <c r="R995" s="3" t="e">
        <f t="shared" si="249"/>
        <v>#N/A</v>
      </c>
      <c r="T995" s="46" t="str">
        <f t="shared" si="245"/>
        <v/>
      </c>
      <c r="U995" s="48" t="str">
        <f t="shared" si="246"/>
        <v/>
      </c>
      <c r="W995" s="56">
        <f t="shared" si="237"/>
        <v>0</v>
      </c>
      <c r="X995" s="57" t="str">
        <f t="shared" si="238"/>
        <v/>
      </c>
      <c r="Y995" s="58">
        <f t="shared" si="239"/>
        <v>0</v>
      </c>
      <c r="AA995" s="62" t="str">
        <f t="shared" si="250"/>
        <v/>
      </c>
    </row>
    <row r="996" spans="3:27">
      <c r="C996" s="82"/>
      <c r="E996" s="30" t="str">
        <f t="shared" si="247"/>
        <v>00:00:00</v>
      </c>
      <c r="F996" s="36" t="str">
        <f t="shared" si="240"/>
        <v/>
      </c>
      <c r="G996" s="36">
        <f t="shared" si="241"/>
        <v>0</v>
      </c>
      <c r="H996" s="3" t="str">
        <f t="shared" si="242"/>
        <v/>
      </c>
      <c r="I996" s="3">
        <f t="shared" si="243"/>
        <v>0</v>
      </c>
      <c r="L996" s="35">
        <f t="shared" si="251"/>
        <v>1</v>
      </c>
      <c r="O996" s="27">
        <f t="shared" si="244"/>
        <v>0</v>
      </c>
      <c r="P996" s="3">
        <v>994</v>
      </c>
      <c r="Q996" s="3" t="e">
        <f t="shared" si="248"/>
        <v>#N/A</v>
      </c>
      <c r="R996" s="3" t="e">
        <f t="shared" si="249"/>
        <v>#N/A</v>
      </c>
      <c r="T996" s="46" t="str">
        <f t="shared" si="245"/>
        <v/>
      </c>
      <c r="U996" s="48" t="str">
        <f t="shared" si="246"/>
        <v/>
      </c>
      <c r="W996" s="56">
        <f t="shared" si="237"/>
        <v>0</v>
      </c>
      <c r="X996" s="57" t="str">
        <f t="shared" si="238"/>
        <v/>
      </c>
      <c r="Y996" s="58">
        <f t="shared" si="239"/>
        <v>0</v>
      </c>
      <c r="AA996" s="62" t="str">
        <f t="shared" si="250"/>
        <v/>
      </c>
    </row>
    <row r="997" spans="3:27">
      <c r="C997" s="82"/>
      <c r="E997" s="30" t="str">
        <f t="shared" si="247"/>
        <v>00:00:00</v>
      </c>
      <c r="F997" s="36" t="str">
        <f t="shared" si="240"/>
        <v/>
      </c>
      <c r="G997" s="36">
        <f t="shared" si="241"/>
        <v>0</v>
      </c>
      <c r="H997" s="3" t="str">
        <f t="shared" si="242"/>
        <v/>
      </c>
      <c r="I997" s="3">
        <f t="shared" si="243"/>
        <v>0</v>
      </c>
      <c r="L997" s="35">
        <f t="shared" si="251"/>
        <v>1</v>
      </c>
      <c r="O997" s="27">
        <f t="shared" si="244"/>
        <v>0</v>
      </c>
      <c r="P997" s="3">
        <v>995</v>
      </c>
      <c r="Q997" s="3" t="e">
        <f t="shared" si="248"/>
        <v>#N/A</v>
      </c>
      <c r="R997" s="3" t="e">
        <f t="shared" si="249"/>
        <v>#N/A</v>
      </c>
      <c r="T997" s="46" t="str">
        <f t="shared" si="245"/>
        <v/>
      </c>
      <c r="U997" s="48" t="str">
        <f t="shared" si="246"/>
        <v/>
      </c>
      <c r="W997" s="56">
        <f t="shared" si="237"/>
        <v>0</v>
      </c>
      <c r="X997" s="57" t="str">
        <f t="shared" si="238"/>
        <v/>
      </c>
      <c r="Y997" s="58">
        <f t="shared" si="239"/>
        <v>0</v>
      </c>
      <c r="AA997" s="62" t="str">
        <f t="shared" si="250"/>
        <v/>
      </c>
    </row>
    <row r="998" spans="3:27">
      <c r="C998" s="82"/>
      <c r="E998" s="30" t="str">
        <f t="shared" si="247"/>
        <v>00:00:00</v>
      </c>
      <c r="F998" s="36" t="str">
        <f t="shared" si="240"/>
        <v/>
      </c>
      <c r="G998" s="36">
        <f t="shared" si="241"/>
        <v>0</v>
      </c>
      <c r="H998" s="3" t="str">
        <f t="shared" si="242"/>
        <v/>
      </c>
      <c r="I998" s="3">
        <f t="shared" si="243"/>
        <v>0</v>
      </c>
      <c r="L998" s="35">
        <f t="shared" si="251"/>
        <v>1</v>
      </c>
      <c r="O998" s="27">
        <f t="shared" si="244"/>
        <v>0</v>
      </c>
      <c r="P998" s="3">
        <v>996</v>
      </c>
      <c r="Q998" s="3" t="e">
        <f t="shared" si="248"/>
        <v>#N/A</v>
      </c>
      <c r="R998" s="3" t="e">
        <f t="shared" si="249"/>
        <v>#N/A</v>
      </c>
      <c r="T998" s="46" t="str">
        <f t="shared" si="245"/>
        <v/>
      </c>
      <c r="U998" s="48" t="str">
        <f t="shared" si="246"/>
        <v/>
      </c>
      <c r="W998" s="56">
        <f t="shared" si="237"/>
        <v>0</v>
      </c>
      <c r="X998" s="57" t="str">
        <f t="shared" si="238"/>
        <v/>
      </c>
      <c r="Y998" s="58">
        <f t="shared" si="239"/>
        <v>0</v>
      </c>
      <c r="AA998" s="62" t="str">
        <f t="shared" si="250"/>
        <v/>
      </c>
    </row>
    <row r="999" spans="3:27">
      <c r="C999" s="82"/>
      <c r="E999" s="30" t="str">
        <f t="shared" si="247"/>
        <v>00:00:00</v>
      </c>
      <c r="F999" s="36" t="str">
        <f t="shared" si="240"/>
        <v/>
      </c>
      <c r="G999" s="36">
        <f t="shared" si="241"/>
        <v>0</v>
      </c>
      <c r="H999" s="3" t="str">
        <f t="shared" si="242"/>
        <v/>
      </c>
      <c r="I999" s="3">
        <f t="shared" si="243"/>
        <v>0</v>
      </c>
      <c r="L999" s="35">
        <f t="shared" si="251"/>
        <v>1</v>
      </c>
      <c r="O999" s="27">
        <f t="shared" si="244"/>
        <v>0</v>
      </c>
      <c r="P999" s="3">
        <v>997</v>
      </c>
      <c r="Q999" s="3" t="e">
        <f t="shared" si="248"/>
        <v>#N/A</v>
      </c>
      <c r="R999" s="3" t="e">
        <f t="shared" si="249"/>
        <v>#N/A</v>
      </c>
      <c r="T999" s="46" t="str">
        <f t="shared" si="245"/>
        <v/>
      </c>
      <c r="U999" s="48" t="str">
        <f t="shared" si="246"/>
        <v/>
      </c>
      <c r="W999" s="56">
        <f t="shared" si="237"/>
        <v>0</v>
      </c>
      <c r="X999" s="57" t="str">
        <f t="shared" si="238"/>
        <v/>
      </c>
      <c r="Y999" s="58">
        <f t="shared" si="239"/>
        <v>0</v>
      </c>
      <c r="AA999" s="62" t="str">
        <f t="shared" si="250"/>
        <v/>
      </c>
    </row>
    <row r="1000" spans="3:27">
      <c r="C1000" s="82"/>
      <c r="E1000" s="30" t="str">
        <f t="shared" si="247"/>
        <v>00:00:00</v>
      </c>
      <c r="F1000" s="36" t="str">
        <f t="shared" si="240"/>
        <v/>
      </c>
      <c r="G1000" s="36">
        <f t="shared" si="241"/>
        <v>0</v>
      </c>
      <c r="H1000" s="3" t="str">
        <f t="shared" si="242"/>
        <v/>
      </c>
      <c r="I1000" s="3">
        <f t="shared" si="243"/>
        <v>0</v>
      </c>
      <c r="L1000" s="35">
        <f t="shared" si="251"/>
        <v>1</v>
      </c>
      <c r="O1000" s="27">
        <f t="shared" si="244"/>
        <v>0</v>
      </c>
      <c r="P1000" s="3">
        <v>998</v>
      </c>
      <c r="Q1000" s="3" t="e">
        <f t="shared" si="248"/>
        <v>#N/A</v>
      </c>
      <c r="R1000" s="3" t="e">
        <f t="shared" si="249"/>
        <v>#N/A</v>
      </c>
      <c r="T1000" s="46" t="str">
        <f t="shared" si="245"/>
        <v/>
      </c>
      <c r="U1000" s="48" t="str">
        <f t="shared" si="246"/>
        <v/>
      </c>
      <c r="W1000" s="56">
        <f t="shared" si="237"/>
        <v>0</v>
      </c>
      <c r="X1000" s="57" t="str">
        <f t="shared" si="238"/>
        <v/>
      </c>
      <c r="Y1000" s="58">
        <f t="shared" si="239"/>
        <v>0</v>
      </c>
      <c r="AA1000" s="62" t="str">
        <f t="shared" si="250"/>
        <v/>
      </c>
    </row>
    <row r="1001" spans="3:27">
      <c r="C1001" s="82"/>
      <c r="E1001" s="30" t="str">
        <f t="shared" si="247"/>
        <v>00:00:00</v>
      </c>
      <c r="F1001" s="36" t="str">
        <f t="shared" si="240"/>
        <v/>
      </c>
      <c r="G1001" s="36">
        <f t="shared" si="241"/>
        <v>0</v>
      </c>
      <c r="H1001" s="3" t="str">
        <f t="shared" si="242"/>
        <v/>
      </c>
      <c r="I1001" s="3">
        <f t="shared" si="243"/>
        <v>0</v>
      </c>
      <c r="L1001" s="35">
        <f t="shared" si="251"/>
        <v>1</v>
      </c>
      <c r="O1001" s="27">
        <f t="shared" si="244"/>
        <v>0</v>
      </c>
      <c r="P1001" s="3">
        <v>999</v>
      </c>
      <c r="Q1001" s="3" t="e">
        <f t="shared" si="248"/>
        <v>#N/A</v>
      </c>
      <c r="R1001" s="3" t="e">
        <f t="shared" si="249"/>
        <v>#N/A</v>
      </c>
      <c r="T1001" s="46" t="str">
        <f t="shared" si="245"/>
        <v/>
      </c>
      <c r="U1001" s="48" t="str">
        <f t="shared" si="246"/>
        <v/>
      </c>
      <c r="W1001" s="56">
        <f t="shared" si="237"/>
        <v>0</v>
      </c>
      <c r="X1001" s="57" t="str">
        <f t="shared" si="238"/>
        <v/>
      </c>
      <c r="Y1001" s="58">
        <f t="shared" si="239"/>
        <v>0</v>
      </c>
      <c r="AA1001" s="62" t="str">
        <f t="shared" si="250"/>
        <v/>
      </c>
    </row>
    <row r="1002" spans="3:27">
      <c r="C1002" s="82"/>
      <c r="E1002" s="30" t="str">
        <f t="shared" si="247"/>
        <v>00:00:00</v>
      </c>
      <c r="F1002" s="36" t="str">
        <f t="shared" si="240"/>
        <v/>
      </c>
      <c r="G1002" s="36">
        <f t="shared" si="241"/>
        <v>0</v>
      </c>
      <c r="H1002" s="3" t="str">
        <f t="shared" si="242"/>
        <v/>
      </c>
      <c r="I1002" s="3">
        <f t="shared" si="243"/>
        <v>0</v>
      </c>
      <c r="L1002" s="35">
        <f t="shared" si="251"/>
        <v>1</v>
      </c>
      <c r="O1002" s="27">
        <f t="shared" si="244"/>
        <v>0</v>
      </c>
      <c r="P1002" s="3">
        <v>1000</v>
      </c>
      <c r="Q1002" s="3" t="e">
        <f t="shared" si="248"/>
        <v>#N/A</v>
      </c>
      <c r="R1002" s="3" t="e">
        <f t="shared" si="249"/>
        <v>#N/A</v>
      </c>
      <c r="T1002" s="46" t="str">
        <f t="shared" si="245"/>
        <v/>
      </c>
      <c r="U1002" s="48" t="str">
        <f t="shared" si="246"/>
        <v/>
      </c>
      <c r="W1002" s="56">
        <f t="shared" si="237"/>
        <v>0</v>
      </c>
      <c r="X1002" s="57" t="str">
        <f t="shared" si="238"/>
        <v/>
      </c>
      <c r="Y1002" s="58">
        <f t="shared" si="239"/>
        <v>0</v>
      </c>
      <c r="AA1002" s="62" t="str">
        <f t="shared" si="250"/>
        <v/>
      </c>
    </row>
    <row r="1003" spans="3:27">
      <c r="C1003" s="82"/>
      <c r="E1003" s="30" t="str">
        <f t="shared" si="247"/>
        <v>00:00:00</v>
      </c>
      <c r="F1003" s="36" t="str">
        <f t="shared" si="240"/>
        <v/>
      </c>
      <c r="G1003" s="36">
        <f t="shared" si="241"/>
        <v>0</v>
      </c>
      <c r="H1003" s="3" t="str">
        <f t="shared" si="242"/>
        <v/>
      </c>
      <c r="I1003" s="3">
        <f t="shared" si="243"/>
        <v>0</v>
      </c>
      <c r="L1003" s="35">
        <f t="shared" si="251"/>
        <v>1</v>
      </c>
      <c r="O1003" s="27">
        <f t="shared" si="244"/>
        <v>0</v>
      </c>
      <c r="P1003" s="3">
        <v>1001</v>
      </c>
      <c r="Q1003" s="3" t="e">
        <f t="shared" si="248"/>
        <v>#N/A</v>
      </c>
      <c r="R1003" s="3" t="e">
        <f t="shared" si="249"/>
        <v>#N/A</v>
      </c>
      <c r="T1003" s="46" t="str">
        <f t="shared" si="245"/>
        <v/>
      </c>
      <c r="U1003" s="48" t="str">
        <f t="shared" si="246"/>
        <v/>
      </c>
      <c r="W1003" s="56">
        <f t="shared" si="237"/>
        <v>0</v>
      </c>
      <c r="X1003" s="57" t="str">
        <f t="shared" si="238"/>
        <v/>
      </c>
      <c r="Y1003" s="58">
        <f t="shared" si="239"/>
        <v>0</v>
      </c>
      <c r="AA1003" s="62" t="str">
        <f t="shared" si="250"/>
        <v/>
      </c>
    </row>
    <row r="1004" spans="3:27">
      <c r="C1004" s="82"/>
      <c r="E1004" s="30" t="str">
        <f t="shared" si="247"/>
        <v>00:00:00</v>
      </c>
      <c r="F1004" s="36" t="str">
        <f t="shared" si="240"/>
        <v/>
      </c>
      <c r="G1004" s="36">
        <f t="shared" si="241"/>
        <v>0</v>
      </c>
      <c r="H1004" s="3" t="str">
        <f t="shared" si="242"/>
        <v/>
      </c>
      <c r="I1004" s="3">
        <f t="shared" si="243"/>
        <v>0</v>
      </c>
      <c r="L1004" s="35">
        <f t="shared" si="251"/>
        <v>1</v>
      </c>
      <c r="O1004" s="27">
        <f t="shared" si="244"/>
        <v>0</v>
      </c>
      <c r="P1004" s="3">
        <v>1002</v>
      </c>
      <c r="Q1004" s="3" t="e">
        <f t="shared" si="248"/>
        <v>#N/A</v>
      </c>
      <c r="R1004" s="3" t="e">
        <f t="shared" si="249"/>
        <v>#N/A</v>
      </c>
      <c r="T1004" s="46" t="str">
        <f t="shared" si="245"/>
        <v/>
      </c>
      <c r="U1004" s="48" t="str">
        <f t="shared" si="246"/>
        <v/>
      </c>
      <c r="W1004" s="56">
        <f t="shared" si="237"/>
        <v>0</v>
      </c>
      <c r="X1004" s="57" t="str">
        <f t="shared" si="238"/>
        <v/>
      </c>
      <c r="Y1004" s="58">
        <f t="shared" si="239"/>
        <v>0</v>
      </c>
      <c r="AA1004" s="62" t="str">
        <f t="shared" si="250"/>
        <v/>
      </c>
    </row>
    <row r="1005" spans="3:27">
      <c r="C1005" s="82"/>
      <c r="E1005" s="30" t="str">
        <f t="shared" si="247"/>
        <v>00:00:00</v>
      </c>
      <c r="F1005" s="36" t="str">
        <f t="shared" si="240"/>
        <v/>
      </c>
      <c r="G1005" s="36">
        <f t="shared" si="241"/>
        <v>0</v>
      </c>
      <c r="H1005" s="3" t="str">
        <f t="shared" si="242"/>
        <v/>
      </c>
      <c r="I1005" s="3">
        <f t="shared" si="243"/>
        <v>0</v>
      </c>
      <c r="L1005" s="35">
        <f t="shared" si="251"/>
        <v>1</v>
      </c>
      <c r="O1005" s="27">
        <f t="shared" si="244"/>
        <v>0</v>
      </c>
      <c r="P1005" s="3">
        <v>1003</v>
      </c>
      <c r="Q1005" s="3" t="e">
        <f t="shared" si="248"/>
        <v>#N/A</v>
      </c>
      <c r="R1005" s="3" t="e">
        <f t="shared" si="249"/>
        <v>#N/A</v>
      </c>
      <c r="T1005" s="46" t="str">
        <f t="shared" si="245"/>
        <v/>
      </c>
      <c r="U1005" s="48" t="str">
        <f t="shared" si="246"/>
        <v/>
      </c>
      <c r="W1005" s="56">
        <f t="shared" si="237"/>
        <v>0</v>
      </c>
      <c r="X1005" s="57" t="str">
        <f t="shared" si="238"/>
        <v/>
      </c>
      <c r="Y1005" s="58">
        <f t="shared" si="239"/>
        <v>0</v>
      </c>
      <c r="AA1005" s="62" t="str">
        <f t="shared" si="250"/>
        <v/>
      </c>
    </row>
    <row r="1006" spans="3:27">
      <c r="C1006" s="82"/>
      <c r="E1006" s="30" t="str">
        <f t="shared" si="247"/>
        <v>00:00:00</v>
      </c>
      <c r="F1006" s="36" t="str">
        <f t="shared" si="240"/>
        <v/>
      </c>
      <c r="G1006" s="36">
        <f t="shared" si="241"/>
        <v>0</v>
      </c>
      <c r="H1006" s="3" t="str">
        <f t="shared" si="242"/>
        <v/>
      </c>
      <c r="I1006" s="3">
        <f t="shared" si="243"/>
        <v>0</v>
      </c>
      <c r="L1006" s="35">
        <f t="shared" si="251"/>
        <v>1</v>
      </c>
      <c r="O1006" s="27">
        <f t="shared" si="244"/>
        <v>0</v>
      </c>
      <c r="P1006" s="3">
        <v>1004</v>
      </c>
      <c r="Q1006" s="3" t="e">
        <f t="shared" si="248"/>
        <v>#N/A</v>
      </c>
      <c r="R1006" s="3" t="e">
        <f t="shared" si="249"/>
        <v>#N/A</v>
      </c>
      <c r="T1006" s="46" t="str">
        <f t="shared" si="245"/>
        <v/>
      </c>
      <c r="U1006" s="48" t="str">
        <f t="shared" si="246"/>
        <v/>
      </c>
      <c r="W1006" s="56">
        <f t="shared" si="237"/>
        <v>0</v>
      </c>
      <c r="X1006" s="57" t="str">
        <f t="shared" si="238"/>
        <v/>
      </c>
      <c r="Y1006" s="58">
        <f t="shared" si="239"/>
        <v>0</v>
      </c>
      <c r="AA1006" s="62" t="str">
        <f t="shared" si="250"/>
        <v/>
      </c>
    </row>
    <row r="1007" spans="3:27">
      <c r="C1007" s="82"/>
      <c r="E1007" s="30" t="str">
        <f t="shared" si="247"/>
        <v>00:00:00</v>
      </c>
      <c r="F1007" s="36" t="str">
        <f t="shared" si="240"/>
        <v/>
      </c>
      <c r="G1007" s="36">
        <f t="shared" si="241"/>
        <v>0</v>
      </c>
      <c r="H1007" s="3" t="str">
        <f t="shared" si="242"/>
        <v/>
      </c>
      <c r="I1007" s="3">
        <f t="shared" si="243"/>
        <v>0</v>
      </c>
      <c r="L1007" s="35">
        <f t="shared" si="251"/>
        <v>1</v>
      </c>
      <c r="O1007" s="27">
        <f t="shared" si="244"/>
        <v>0</v>
      </c>
      <c r="P1007" s="3">
        <v>1005</v>
      </c>
      <c r="Q1007" s="3" t="e">
        <f t="shared" si="248"/>
        <v>#N/A</v>
      </c>
      <c r="R1007" s="3" t="e">
        <f t="shared" si="249"/>
        <v>#N/A</v>
      </c>
      <c r="T1007" s="46" t="str">
        <f t="shared" si="245"/>
        <v/>
      </c>
      <c r="U1007" s="48" t="str">
        <f t="shared" si="246"/>
        <v/>
      </c>
      <c r="W1007" s="56">
        <f t="shared" si="237"/>
        <v>0</v>
      </c>
      <c r="X1007" s="57" t="str">
        <f t="shared" si="238"/>
        <v/>
      </c>
      <c r="Y1007" s="58">
        <f t="shared" si="239"/>
        <v>0</v>
      </c>
      <c r="AA1007" s="62" t="str">
        <f t="shared" si="250"/>
        <v/>
      </c>
    </row>
    <row r="1008" spans="3:27">
      <c r="C1008" s="82"/>
      <c r="E1008" s="30" t="str">
        <f t="shared" si="247"/>
        <v>00:00:00</v>
      </c>
      <c r="F1008" s="36" t="str">
        <f t="shared" si="240"/>
        <v/>
      </c>
      <c r="G1008" s="36">
        <f t="shared" si="241"/>
        <v>0</v>
      </c>
      <c r="H1008" s="3" t="str">
        <f t="shared" si="242"/>
        <v/>
      </c>
      <c r="I1008" s="3">
        <f t="shared" si="243"/>
        <v>0</v>
      </c>
      <c r="L1008" s="35">
        <f t="shared" si="251"/>
        <v>1</v>
      </c>
      <c r="O1008" s="27">
        <f t="shared" si="244"/>
        <v>0</v>
      </c>
      <c r="P1008" s="3">
        <v>1006</v>
      </c>
      <c r="Q1008" s="3" t="e">
        <f t="shared" si="248"/>
        <v>#N/A</v>
      </c>
      <c r="R1008" s="3" t="e">
        <f t="shared" si="249"/>
        <v>#N/A</v>
      </c>
      <c r="T1008" s="46" t="str">
        <f t="shared" si="245"/>
        <v/>
      </c>
      <c r="U1008" s="48" t="str">
        <f t="shared" si="246"/>
        <v/>
      </c>
      <c r="W1008" s="56">
        <f t="shared" si="237"/>
        <v>0</v>
      </c>
      <c r="X1008" s="57" t="str">
        <f t="shared" si="238"/>
        <v/>
      </c>
      <c r="Y1008" s="58">
        <f t="shared" si="239"/>
        <v>0</v>
      </c>
      <c r="AA1008" s="62" t="str">
        <f t="shared" si="250"/>
        <v/>
      </c>
    </row>
    <row r="1009" spans="3:27">
      <c r="C1009" s="82"/>
      <c r="E1009" s="30" t="str">
        <f t="shared" si="247"/>
        <v>00:00:00</v>
      </c>
      <c r="F1009" s="36" t="str">
        <f t="shared" si="240"/>
        <v/>
      </c>
      <c r="G1009" s="36">
        <f t="shared" si="241"/>
        <v>0</v>
      </c>
      <c r="H1009" s="3" t="str">
        <f t="shared" si="242"/>
        <v/>
      </c>
      <c r="I1009" s="3">
        <f t="shared" si="243"/>
        <v>0</v>
      </c>
      <c r="L1009" s="35">
        <f t="shared" si="251"/>
        <v>1</v>
      </c>
      <c r="O1009" s="27">
        <f t="shared" si="244"/>
        <v>0</v>
      </c>
      <c r="P1009" s="3">
        <v>1007</v>
      </c>
      <c r="Q1009" s="3" t="e">
        <f t="shared" si="248"/>
        <v>#N/A</v>
      </c>
      <c r="R1009" s="3" t="e">
        <f t="shared" si="249"/>
        <v>#N/A</v>
      </c>
      <c r="T1009" s="46" t="str">
        <f t="shared" si="245"/>
        <v/>
      </c>
      <c r="U1009" s="48" t="str">
        <f t="shared" si="246"/>
        <v/>
      </c>
      <c r="W1009" s="56">
        <f t="shared" si="237"/>
        <v>0</v>
      </c>
      <c r="X1009" s="57" t="str">
        <f t="shared" si="238"/>
        <v/>
      </c>
      <c r="Y1009" s="58">
        <f t="shared" si="239"/>
        <v>0</v>
      </c>
      <c r="AA1009" s="62" t="str">
        <f t="shared" si="250"/>
        <v/>
      </c>
    </row>
    <row r="1010" spans="3:27">
      <c r="C1010" s="82"/>
      <c r="E1010" s="30" t="str">
        <f t="shared" si="247"/>
        <v>00:00:00</v>
      </c>
      <c r="F1010" s="36" t="str">
        <f t="shared" si="240"/>
        <v/>
      </c>
      <c r="G1010" s="36">
        <f t="shared" si="241"/>
        <v>0</v>
      </c>
      <c r="H1010" s="3" t="str">
        <f t="shared" si="242"/>
        <v/>
      </c>
      <c r="I1010" s="3">
        <f t="shared" si="243"/>
        <v>0</v>
      </c>
      <c r="L1010" s="35">
        <f t="shared" si="251"/>
        <v>1</v>
      </c>
      <c r="O1010" s="27">
        <f t="shared" si="244"/>
        <v>0</v>
      </c>
      <c r="P1010" s="3">
        <v>1008</v>
      </c>
      <c r="Q1010" s="3" t="e">
        <f t="shared" si="248"/>
        <v>#N/A</v>
      </c>
      <c r="R1010" s="3" t="e">
        <f t="shared" si="249"/>
        <v>#N/A</v>
      </c>
      <c r="T1010" s="46" t="str">
        <f t="shared" si="245"/>
        <v/>
      </c>
      <c r="U1010" s="48" t="str">
        <f t="shared" si="246"/>
        <v/>
      </c>
      <c r="W1010" s="56">
        <f t="shared" si="237"/>
        <v>0</v>
      </c>
      <c r="X1010" s="57" t="str">
        <f t="shared" si="238"/>
        <v/>
      </c>
      <c r="Y1010" s="58">
        <f t="shared" si="239"/>
        <v>0</v>
      </c>
      <c r="AA1010" s="62" t="str">
        <f t="shared" si="250"/>
        <v/>
      </c>
    </row>
    <row r="1011" spans="3:27">
      <c r="C1011" s="82"/>
      <c r="E1011" s="30" t="str">
        <f t="shared" si="247"/>
        <v>00:00:00</v>
      </c>
      <c r="F1011" s="36" t="str">
        <f t="shared" si="240"/>
        <v/>
      </c>
      <c r="G1011" s="36">
        <f t="shared" si="241"/>
        <v>0</v>
      </c>
      <c r="H1011" s="3" t="str">
        <f t="shared" si="242"/>
        <v/>
      </c>
      <c r="I1011" s="3">
        <f t="shared" si="243"/>
        <v>0</v>
      </c>
      <c r="L1011" s="35">
        <f t="shared" si="251"/>
        <v>1</v>
      </c>
      <c r="O1011" s="27">
        <f t="shared" si="244"/>
        <v>0</v>
      </c>
      <c r="P1011" s="3">
        <v>1009</v>
      </c>
      <c r="Q1011" s="3" t="e">
        <f t="shared" si="248"/>
        <v>#N/A</v>
      </c>
      <c r="R1011" s="3" t="e">
        <f t="shared" si="249"/>
        <v>#N/A</v>
      </c>
      <c r="T1011" s="46" t="str">
        <f t="shared" si="245"/>
        <v/>
      </c>
      <c r="U1011" s="48" t="str">
        <f t="shared" si="246"/>
        <v/>
      </c>
      <c r="W1011" s="56">
        <f t="shared" si="237"/>
        <v>0</v>
      </c>
      <c r="X1011" s="57" t="str">
        <f t="shared" si="238"/>
        <v/>
      </c>
      <c r="Y1011" s="58">
        <f t="shared" si="239"/>
        <v>0</v>
      </c>
      <c r="AA1011" s="62" t="str">
        <f t="shared" si="250"/>
        <v/>
      </c>
    </row>
    <row r="1012" spans="3:27">
      <c r="C1012" s="82"/>
      <c r="E1012" s="30" t="str">
        <f t="shared" si="247"/>
        <v>00:00:00</v>
      </c>
      <c r="F1012" s="36" t="str">
        <f t="shared" si="240"/>
        <v/>
      </c>
      <c r="G1012" s="36">
        <f t="shared" si="241"/>
        <v>0</v>
      </c>
      <c r="H1012" s="3" t="str">
        <f t="shared" si="242"/>
        <v/>
      </c>
      <c r="I1012" s="3">
        <f t="shared" si="243"/>
        <v>0</v>
      </c>
      <c r="L1012" s="35">
        <f t="shared" si="251"/>
        <v>1</v>
      </c>
      <c r="O1012" s="27">
        <f t="shared" si="244"/>
        <v>0</v>
      </c>
      <c r="P1012" s="3">
        <v>1010</v>
      </c>
      <c r="Q1012" s="3" t="e">
        <f t="shared" si="248"/>
        <v>#N/A</v>
      </c>
      <c r="R1012" s="3" t="e">
        <f t="shared" si="249"/>
        <v>#N/A</v>
      </c>
      <c r="T1012" s="46" t="str">
        <f t="shared" si="245"/>
        <v/>
      </c>
      <c r="U1012" s="48" t="str">
        <f t="shared" si="246"/>
        <v/>
      </c>
      <c r="W1012" s="56">
        <f t="shared" si="237"/>
        <v>0</v>
      </c>
      <c r="X1012" s="57" t="str">
        <f t="shared" si="238"/>
        <v/>
      </c>
      <c r="Y1012" s="58">
        <f t="shared" si="239"/>
        <v>0</v>
      </c>
      <c r="AA1012" s="62" t="str">
        <f t="shared" si="250"/>
        <v/>
      </c>
    </row>
    <row r="1013" spans="3:27">
      <c r="C1013" s="82"/>
      <c r="E1013" s="30" t="str">
        <f t="shared" si="247"/>
        <v>00:00:00</v>
      </c>
      <c r="F1013" s="36" t="str">
        <f t="shared" si="240"/>
        <v/>
      </c>
      <c r="G1013" s="36">
        <f t="shared" si="241"/>
        <v>0</v>
      </c>
      <c r="H1013" s="3" t="str">
        <f t="shared" si="242"/>
        <v/>
      </c>
      <c r="I1013" s="3">
        <f t="shared" si="243"/>
        <v>0</v>
      </c>
      <c r="L1013" s="35">
        <f t="shared" si="251"/>
        <v>1</v>
      </c>
      <c r="O1013" s="27">
        <f t="shared" si="244"/>
        <v>0</v>
      </c>
      <c r="P1013" s="3">
        <v>1011</v>
      </c>
      <c r="Q1013" s="3" t="e">
        <f t="shared" si="248"/>
        <v>#N/A</v>
      </c>
      <c r="R1013" s="3" t="e">
        <f t="shared" si="249"/>
        <v>#N/A</v>
      </c>
      <c r="T1013" s="46" t="str">
        <f t="shared" si="245"/>
        <v/>
      </c>
      <c r="U1013" s="48" t="str">
        <f t="shared" si="246"/>
        <v/>
      </c>
      <c r="W1013" s="56">
        <f t="shared" si="237"/>
        <v>0</v>
      </c>
      <c r="X1013" s="57" t="str">
        <f t="shared" si="238"/>
        <v/>
      </c>
      <c r="Y1013" s="58">
        <f t="shared" si="239"/>
        <v>0</v>
      </c>
      <c r="AA1013" s="62" t="str">
        <f t="shared" si="250"/>
        <v/>
      </c>
    </row>
    <row r="1014" spans="3:27">
      <c r="C1014" s="82"/>
      <c r="E1014" s="30" t="str">
        <f t="shared" si="247"/>
        <v>00:00:00</v>
      </c>
      <c r="F1014" s="36" t="str">
        <f t="shared" si="240"/>
        <v/>
      </c>
      <c r="G1014" s="36">
        <f t="shared" si="241"/>
        <v>0</v>
      </c>
      <c r="H1014" s="3" t="str">
        <f t="shared" si="242"/>
        <v/>
      </c>
      <c r="I1014" s="3">
        <f t="shared" si="243"/>
        <v>0</v>
      </c>
      <c r="L1014" s="35">
        <f t="shared" si="251"/>
        <v>1</v>
      </c>
      <c r="O1014" s="27">
        <f t="shared" si="244"/>
        <v>0</v>
      </c>
      <c r="P1014" s="3">
        <v>1012</v>
      </c>
      <c r="Q1014" s="3" t="e">
        <f t="shared" si="248"/>
        <v>#N/A</v>
      </c>
      <c r="R1014" s="3" t="e">
        <f t="shared" si="249"/>
        <v>#N/A</v>
      </c>
      <c r="T1014" s="46" t="str">
        <f t="shared" si="245"/>
        <v/>
      </c>
      <c r="U1014" s="48" t="str">
        <f t="shared" si="246"/>
        <v/>
      </c>
      <c r="W1014" s="56">
        <f t="shared" si="237"/>
        <v>0</v>
      </c>
      <c r="X1014" s="57" t="str">
        <f t="shared" si="238"/>
        <v/>
      </c>
      <c r="Y1014" s="58">
        <f t="shared" si="239"/>
        <v>0</v>
      </c>
      <c r="AA1014" s="62" t="str">
        <f t="shared" si="250"/>
        <v/>
      </c>
    </row>
    <row r="1015" spans="3:27">
      <c r="C1015" s="82"/>
      <c r="E1015" s="30" t="str">
        <f t="shared" si="247"/>
        <v>00:00:00</v>
      </c>
      <c r="F1015" s="36" t="str">
        <f t="shared" si="240"/>
        <v/>
      </c>
      <c r="G1015" s="36">
        <f t="shared" si="241"/>
        <v>0</v>
      </c>
      <c r="H1015" s="3" t="str">
        <f t="shared" si="242"/>
        <v/>
      </c>
      <c r="I1015" s="3">
        <f t="shared" si="243"/>
        <v>0</v>
      </c>
      <c r="L1015" s="35">
        <f t="shared" si="251"/>
        <v>1</v>
      </c>
      <c r="O1015" s="27">
        <f t="shared" si="244"/>
        <v>0</v>
      </c>
      <c r="P1015" s="3">
        <v>1013</v>
      </c>
      <c r="Q1015" s="3" t="e">
        <f t="shared" si="248"/>
        <v>#N/A</v>
      </c>
      <c r="R1015" s="3" t="e">
        <f t="shared" si="249"/>
        <v>#N/A</v>
      </c>
      <c r="T1015" s="46" t="str">
        <f t="shared" si="245"/>
        <v/>
      </c>
      <c r="U1015" s="48" t="str">
        <f t="shared" si="246"/>
        <v/>
      </c>
      <c r="W1015" s="56">
        <f t="shared" si="237"/>
        <v>0</v>
      </c>
      <c r="X1015" s="57" t="str">
        <f t="shared" si="238"/>
        <v/>
      </c>
      <c r="Y1015" s="58">
        <f t="shared" si="239"/>
        <v>0</v>
      </c>
      <c r="AA1015" s="62" t="str">
        <f t="shared" si="250"/>
        <v/>
      </c>
    </row>
    <row r="1016" spans="3:27">
      <c r="C1016" s="82"/>
      <c r="E1016" s="30" t="str">
        <f t="shared" si="247"/>
        <v>00:00:00</v>
      </c>
      <c r="F1016" s="36" t="str">
        <f t="shared" si="240"/>
        <v/>
      </c>
      <c r="G1016" s="36">
        <f t="shared" si="241"/>
        <v>0</v>
      </c>
      <c r="H1016" s="3" t="str">
        <f t="shared" si="242"/>
        <v/>
      </c>
      <c r="I1016" s="3">
        <f t="shared" si="243"/>
        <v>0</v>
      </c>
      <c r="L1016" s="35">
        <f t="shared" si="251"/>
        <v>1</v>
      </c>
      <c r="O1016" s="27">
        <f t="shared" si="244"/>
        <v>0</v>
      </c>
      <c r="P1016" s="3">
        <v>1014</v>
      </c>
      <c r="Q1016" s="3" t="e">
        <f t="shared" si="248"/>
        <v>#N/A</v>
      </c>
      <c r="R1016" s="3" t="e">
        <f t="shared" si="249"/>
        <v>#N/A</v>
      </c>
      <c r="T1016" s="46" t="str">
        <f t="shared" si="245"/>
        <v/>
      </c>
      <c r="U1016" s="48" t="str">
        <f t="shared" si="246"/>
        <v/>
      </c>
      <c r="W1016" s="56">
        <f t="shared" si="237"/>
        <v>0</v>
      </c>
      <c r="X1016" s="57" t="str">
        <f t="shared" si="238"/>
        <v/>
      </c>
      <c r="Y1016" s="58">
        <f t="shared" si="239"/>
        <v>0</v>
      </c>
      <c r="AA1016" s="62" t="str">
        <f t="shared" si="250"/>
        <v/>
      </c>
    </row>
    <row r="1017" spans="3:27">
      <c r="C1017" s="82"/>
      <c r="E1017" s="30" t="str">
        <f t="shared" si="247"/>
        <v>00:00:00</v>
      </c>
      <c r="F1017" s="36" t="str">
        <f t="shared" si="240"/>
        <v/>
      </c>
      <c r="G1017" s="36">
        <f t="shared" si="241"/>
        <v>0</v>
      </c>
      <c r="H1017" s="3" t="str">
        <f t="shared" si="242"/>
        <v/>
      </c>
      <c r="I1017" s="3">
        <f t="shared" si="243"/>
        <v>0</v>
      </c>
      <c r="L1017" s="35">
        <f t="shared" si="251"/>
        <v>1</v>
      </c>
      <c r="O1017" s="27">
        <f t="shared" si="244"/>
        <v>0</v>
      </c>
      <c r="P1017" s="3">
        <v>1015</v>
      </c>
      <c r="Q1017" s="3" t="e">
        <f t="shared" si="248"/>
        <v>#N/A</v>
      </c>
      <c r="R1017" s="3" t="e">
        <f t="shared" si="249"/>
        <v>#N/A</v>
      </c>
      <c r="T1017" s="46" t="str">
        <f t="shared" si="245"/>
        <v/>
      </c>
      <c r="U1017" s="48" t="str">
        <f t="shared" si="246"/>
        <v/>
      </c>
      <c r="W1017" s="56">
        <f t="shared" si="237"/>
        <v>0</v>
      </c>
      <c r="X1017" s="57" t="str">
        <f t="shared" si="238"/>
        <v/>
      </c>
      <c r="Y1017" s="58">
        <f t="shared" si="239"/>
        <v>0</v>
      </c>
      <c r="AA1017" s="62" t="str">
        <f t="shared" si="250"/>
        <v/>
      </c>
    </row>
    <row r="1018" spans="3:27">
      <c r="C1018" s="82"/>
      <c r="E1018" s="30" t="str">
        <f t="shared" si="247"/>
        <v>00:00:00</v>
      </c>
      <c r="F1018" s="36" t="str">
        <f t="shared" si="240"/>
        <v/>
      </c>
      <c r="G1018" s="36">
        <f t="shared" si="241"/>
        <v>0</v>
      </c>
      <c r="H1018" s="3" t="str">
        <f t="shared" si="242"/>
        <v/>
      </c>
      <c r="I1018" s="3">
        <f t="shared" si="243"/>
        <v>0</v>
      </c>
      <c r="L1018" s="35">
        <f t="shared" si="251"/>
        <v>1</v>
      </c>
      <c r="O1018" s="27">
        <f t="shared" si="244"/>
        <v>0</v>
      </c>
      <c r="P1018" s="3">
        <v>1016</v>
      </c>
      <c r="Q1018" s="3" t="e">
        <f t="shared" si="248"/>
        <v>#N/A</v>
      </c>
      <c r="R1018" s="3" t="e">
        <f t="shared" si="249"/>
        <v>#N/A</v>
      </c>
      <c r="T1018" s="46" t="str">
        <f t="shared" si="245"/>
        <v/>
      </c>
      <c r="U1018" s="48" t="str">
        <f t="shared" si="246"/>
        <v/>
      </c>
      <c r="W1018" s="56">
        <f t="shared" si="237"/>
        <v>0</v>
      </c>
      <c r="X1018" s="57" t="str">
        <f t="shared" si="238"/>
        <v/>
      </c>
      <c r="Y1018" s="58">
        <f t="shared" si="239"/>
        <v>0</v>
      </c>
      <c r="AA1018" s="62" t="str">
        <f t="shared" si="250"/>
        <v/>
      </c>
    </row>
    <row r="1019" spans="3:27">
      <c r="C1019" s="82"/>
      <c r="E1019" s="30" t="str">
        <f t="shared" si="247"/>
        <v>00:00:00</v>
      </c>
      <c r="F1019" s="36" t="str">
        <f t="shared" si="240"/>
        <v/>
      </c>
      <c r="G1019" s="36">
        <f t="shared" si="241"/>
        <v>0</v>
      </c>
      <c r="H1019" s="3" t="str">
        <f t="shared" si="242"/>
        <v/>
      </c>
      <c r="I1019" s="3">
        <f t="shared" si="243"/>
        <v>0</v>
      </c>
      <c r="L1019" s="35">
        <f t="shared" si="251"/>
        <v>1</v>
      </c>
      <c r="O1019" s="27">
        <f t="shared" si="244"/>
        <v>0</v>
      </c>
      <c r="P1019" s="3">
        <v>1017</v>
      </c>
      <c r="Q1019" s="3" t="e">
        <f t="shared" si="248"/>
        <v>#N/A</v>
      </c>
      <c r="R1019" s="3" t="e">
        <f t="shared" si="249"/>
        <v>#N/A</v>
      </c>
      <c r="T1019" s="46" t="str">
        <f t="shared" si="245"/>
        <v/>
      </c>
      <c r="U1019" s="48" t="str">
        <f t="shared" si="246"/>
        <v/>
      </c>
      <c r="W1019" s="56">
        <f t="shared" si="237"/>
        <v>0</v>
      </c>
      <c r="X1019" s="57" t="str">
        <f t="shared" si="238"/>
        <v/>
      </c>
      <c r="Y1019" s="58">
        <f t="shared" si="239"/>
        <v>0</v>
      </c>
      <c r="AA1019" s="62" t="str">
        <f t="shared" si="250"/>
        <v/>
      </c>
    </row>
    <row r="1020" spans="3:27">
      <c r="C1020" s="82"/>
      <c r="E1020" s="30" t="str">
        <f t="shared" si="247"/>
        <v>00:00:00</v>
      </c>
      <c r="F1020" s="36" t="str">
        <f t="shared" si="240"/>
        <v/>
      </c>
      <c r="G1020" s="36">
        <f t="shared" si="241"/>
        <v>0</v>
      </c>
      <c r="H1020" s="3" t="str">
        <f t="shared" si="242"/>
        <v/>
      </c>
      <c r="I1020" s="3">
        <f t="shared" si="243"/>
        <v>0</v>
      </c>
      <c r="L1020" s="35">
        <f t="shared" si="251"/>
        <v>1</v>
      </c>
      <c r="O1020" s="27">
        <f t="shared" si="244"/>
        <v>0</v>
      </c>
      <c r="P1020" s="3">
        <v>1018</v>
      </c>
      <c r="Q1020" s="3" t="e">
        <f t="shared" si="248"/>
        <v>#N/A</v>
      </c>
      <c r="R1020" s="3" t="e">
        <f t="shared" si="249"/>
        <v>#N/A</v>
      </c>
      <c r="T1020" s="46" t="str">
        <f t="shared" si="245"/>
        <v/>
      </c>
      <c r="U1020" s="48" t="str">
        <f t="shared" si="246"/>
        <v/>
      </c>
      <c r="W1020" s="56">
        <f t="shared" si="237"/>
        <v>0</v>
      </c>
      <c r="X1020" s="57" t="str">
        <f t="shared" si="238"/>
        <v/>
      </c>
      <c r="Y1020" s="58">
        <f t="shared" si="239"/>
        <v>0</v>
      </c>
      <c r="AA1020" s="62" t="str">
        <f t="shared" si="250"/>
        <v/>
      </c>
    </row>
    <row r="1021" spans="3:27">
      <c r="C1021" s="82"/>
      <c r="E1021" s="30" t="str">
        <f t="shared" si="247"/>
        <v>00:00:00</v>
      </c>
      <c r="F1021" s="36" t="str">
        <f t="shared" si="240"/>
        <v/>
      </c>
      <c r="G1021" s="36">
        <f t="shared" si="241"/>
        <v>0</v>
      </c>
      <c r="H1021" s="3" t="str">
        <f t="shared" si="242"/>
        <v/>
      </c>
      <c r="I1021" s="3">
        <f t="shared" si="243"/>
        <v>0</v>
      </c>
      <c r="L1021" s="35">
        <f t="shared" si="251"/>
        <v>1</v>
      </c>
      <c r="O1021" s="27">
        <f t="shared" si="244"/>
        <v>0</v>
      </c>
      <c r="P1021" s="3">
        <v>1019</v>
      </c>
      <c r="Q1021" s="3" t="e">
        <f t="shared" si="248"/>
        <v>#N/A</v>
      </c>
      <c r="R1021" s="3" t="e">
        <f t="shared" si="249"/>
        <v>#N/A</v>
      </c>
      <c r="T1021" s="46" t="str">
        <f t="shared" si="245"/>
        <v/>
      </c>
      <c r="U1021" s="48" t="str">
        <f t="shared" si="246"/>
        <v/>
      </c>
      <c r="W1021" s="56">
        <f t="shared" si="237"/>
        <v>0</v>
      </c>
      <c r="X1021" s="57" t="str">
        <f t="shared" si="238"/>
        <v/>
      </c>
      <c r="Y1021" s="58">
        <f t="shared" si="239"/>
        <v>0</v>
      </c>
      <c r="AA1021" s="62" t="str">
        <f t="shared" si="250"/>
        <v/>
      </c>
    </row>
    <row r="1022" spans="3:27">
      <c r="C1022" s="82"/>
      <c r="E1022" s="30" t="str">
        <f t="shared" si="247"/>
        <v>00:00:00</v>
      </c>
      <c r="F1022" s="36" t="str">
        <f t="shared" si="240"/>
        <v/>
      </c>
      <c r="G1022" s="36">
        <f t="shared" si="241"/>
        <v>0</v>
      </c>
      <c r="H1022" s="3" t="str">
        <f t="shared" si="242"/>
        <v/>
      </c>
      <c r="I1022" s="3">
        <f t="shared" si="243"/>
        <v>0</v>
      </c>
      <c r="L1022" s="35">
        <f t="shared" si="251"/>
        <v>1</v>
      </c>
      <c r="O1022" s="27">
        <f t="shared" si="244"/>
        <v>0</v>
      </c>
      <c r="P1022" s="3">
        <v>1020</v>
      </c>
      <c r="Q1022" s="3" t="e">
        <f t="shared" si="248"/>
        <v>#N/A</v>
      </c>
      <c r="R1022" s="3" t="e">
        <f t="shared" si="249"/>
        <v>#N/A</v>
      </c>
      <c r="T1022" s="46" t="str">
        <f t="shared" si="245"/>
        <v/>
      </c>
      <c r="U1022" s="48" t="str">
        <f t="shared" si="246"/>
        <v/>
      </c>
      <c r="W1022" s="56">
        <f t="shared" si="237"/>
        <v>0</v>
      </c>
      <c r="X1022" s="57" t="str">
        <f t="shared" si="238"/>
        <v/>
      </c>
      <c r="Y1022" s="58">
        <f t="shared" si="239"/>
        <v>0</v>
      </c>
      <c r="AA1022" s="62" t="str">
        <f t="shared" si="250"/>
        <v/>
      </c>
    </row>
    <row r="1023" spans="3:27">
      <c r="C1023" s="82"/>
      <c r="E1023" s="30" t="str">
        <f t="shared" si="247"/>
        <v>00:00:00</v>
      </c>
      <c r="F1023" s="36" t="str">
        <f t="shared" si="240"/>
        <v/>
      </c>
      <c r="G1023" s="36">
        <f t="shared" si="241"/>
        <v>0</v>
      </c>
      <c r="H1023" s="3" t="str">
        <f t="shared" si="242"/>
        <v/>
      </c>
      <c r="I1023" s="3">
        <f t="shared" si="243"/>
        <v>0</v>
      </c>
      <c r="L1023" s="35">
        <f t="shared" si="251"/>
        <v>1</v>
      </c>
      <c r="O1023" s="27">
        <f t="shared" si="244"/>
        <v>0</v>
      </c>
      <c r="P1023" s="3">
        <v>1021</v>
      </c>
      <c r="Q1023" s="3" t="e">
        <f t="shared" si="248"/>
        <v>#N/A</v>
      </c>
      <c r="R1023" s="3" t="e">
        <f t="shared" si="249"/>
        <v>#N/A</v>
      </c>
      <c r="T1023" s="46" t="str">
        <f t="shared" si="245"/>
        <v/>
      </c>
      <c r="U1023" s="48" t="str">
        <f t="shared" si="246"/>
        <v/>
      </c>
      <c r="W1023" s="56">
        <f t="shared" si="237"/>
        <v>0</v>
      </c>
      <c r="X1023" s="57" t="str">
        <f t="shared" si="238"/>
        <v/>
      </c>
      <c r="Y1023" s="58">
        <f t="shared" si="239"/>
        <v>0</v>
      </c>
      <c r="AA1023" s="62" t="str">
        <f t="shared" si="250"/>
        <v/>
      </c>
    </row>
    <row r="1024" spans="3:27">
      <c r="C1024" s="82"/>
      <c r="E1024" s="30" t="str">
        <f t="shared" si="247"/>
        <v>00:00:00</v>
      </c>
      <c r="F1024" s="36" t="str">
        <f t="shared" si="240"/>
        <v/>
      </c>
      <c r="G1024" s="36">
        <f t="shared" si="241"/>
        <v>0</v>
      </c>
      <c r="H1024" s="3" t="str">
        <f t="shared" si="242"/>
        <v/>
      </c>
      <c r="I1024" s="3">
        <f t="shared" si="243"/>
        <v>0</v>
      </c>
      <c r="L1024" s="35">
        <f t="shared" si="251"/>
        <v>1</v>
      </c>
      <c r="O1024" s="27">
        <f t="shared" si="244"/>
        <v>0</v>
      </c>
      <c r="P1024" s="3">
        <v>1022</v>
      </c>
      <c r="Q1024" s="3" t="e">
        <f t="shared" si="248"/>
        <v>#N/A</v>
      </c>
      <c r="R1024" s="3" t="e">
        <f t="shared" si="249"/>
        <v>#N/A</v>
      </c>
      <c r="T1024" s="46" t="str">
        <f t="shared" si="245"/>
        <v/>
      </c>
      <c r="U1024" s="48" t="str">
        <f t="shared" si="246"/>
        <v/>
      </c>
      <c r="W1024" s="56">
        <f t="shared" si="237"/>
        <v>0</v>
      </c>
      <c r="X1024" s="57" t="str">
        <f t="shared" si="238"/>
        <v/>
      </c>
      <c r="Y1024" s="58">
        <f t="shared" si="239"/>
        <v>0</v>
      </c>
      <c r="AA1024" s="62" t="str">
        <f t="shared" si="250"/>
        <v/>
      </c>
    </row>
    <row r="1025" spans="3:27">
      <c r="C1025" s="82"/>
      <c r="E1025" s="30" t="str">
        <f t="shared" si="247"/>
        <v>00:00:00</v>
      </c>
      <c r="F1025" s="36" t="str">
        <f t="shared" si="240"/>
        <v/>
      </c>
      <c r="G1025" s="36">
        <f t="shared" si="241"/>
        <v>0</v>
      </c>
      <c r="H1025" s="3" t="str">
        <f t="shared" si="242"/>
        <v/>
      </c>
      <c r="I1025" s="3">
        <f t="shared" si="243"/>
        <v>0</v>
      </c>
      <c r="L1025" s="35">
        <f t="shared" si="251"/>
        <v>1</v>
      </c>
      <c r="O1025" s="27">
        <f t="shared" si="244"/>
        <v>0</v>
      </c>
      <c r="P1025" s="3">
        <v>1023</v>
      </c>
      <c r="Q1025" s="3" t="e">
        <f t="shared" si="248"/>
        <v>#N/A</v>
      </c>
      <c r="R1025" s="3" t="e">
        <f t="shared" si="249"/>
        <v>#N/A</v>
      </c>
      <c r="T1025" s="46" t="str">
        <f t="shared" si="245"/>
        <v/>
      </c>
      <c r="U1025" s="48" t="str">
        <f t="shared" si="246"/>
        <v/>
      </c>
      <c r="W1025" s="56">
        <f t="shared" si="237"/>
        <v>0</v>
      </c>
      <c r="X1025" s="57" t="str">
        <f t="shared" si="238"/>
        <v/>
      </c>
      <c r="Y1025" s="58">
        <f t="shared" si="239"/>
        <v>0</v>
      </c>
      <c r="AA1025" s="62" t="str">
        <f t="shared" si="250"/>
        <v/>
      </c>
    </row>
    <row r="1026" spans="3:27">
      <c r="C1026" s="82"/>
      <c r="E1026" s="30" t="str">
        <f t="shared" si="247"/>
        <v>00:00:00</v>
      </c>
      <c r="F1026" s="36" t="str">
        <f t="shared" si="240"/>
        <v/>
      </c>
      <c r="G1026" s="36">
        <f t="shared" si="241"/>
        <v>0</v>
      </c>
      <c r="H1026" s="3" t="str">
        <f t="shared" si="242"/>
        <v/>
      </c>
      <c r="I1026" s="3">
        <f t="shared" si="243"/>
        <v>0</v>
      </c>
      <c r="L1026" s="35">
        <f t="shared" si="251"/>
        <v>1</v>
      </c>
      <c r="O1026" s="27">
        <f t="shared" si="244"/>
        <v>0</v>
      </c>
      <c r="P1026" s="3">
        <v>1024</v>
      </c>
      <c r="Q1026" s="3" t="e">
        <f t="shared" si="248"/>
        <v>#N/A</v>
      </c>
      <c r="R1026" s="3" t="e">
        <f t="shared" si="249"/>
        <v>#N/A</v>
      </c>
      <c r="T1026" s="46" t="str">
        <f t="shared" si="245"/>
        <v/>
      </c>
      <c r="U1026" s="48" t="str">
        <f t="shared" si="246"/>
        <v/>
      </c>
      <c r="W1026" s="56">
        <f t="shared" ref="W1026:W1074" si="252">IF(H1026&lt;&gt;H1027,1,0)</f>
        <v>0</v>
      </c>
      <c r="X1026" s="57" t="str">
        <f t="shared" ref="X1026:X1074" si="253">IF(W1026=1,H1026,"")</f>
        <v/>
      </c>
      <c r="Y1026" s="58">
        <f t="shared" ref="Y1026:Y1074" si="254">D1026</f>
        <v>0</v>
      </c>
      <c r="AA1026" s="62" t="str">
        <f t="shared" si="250"/>
        <v/>
      </c>
    </row>
    <row r="1027" spans="3:27">
      <c r="C1027" s="82"/>
      <c r="E1027" s="30" t="str">
        <f t="shared" si="247"/>
        <v>00:00:00</v>
      </c>
      <c r="F1027" s="36" t="str">
        <f t="shared" ref="F1027:F1074" si="255">IF(G1027=0,"",IF(G1027&lt;8,1,IF(G1027&lt;15,2,IF(G1027&lt;22,3,4))))</f>
        <v/>
      </c>
      <c r="G1027" s="36">
        <f t="shared" ref="G1027:G1074" si="256">DAY(B1027)</f>
        <v>0</v>
      </c>
      <c r="H1027" s="3" t="str">
        <f t="shared" ref="H1027:H1074" si="257">IF(ISNUMBER(B1027),VLOOKUP(MONTH(B1027),$J$2:$K$13,2,FALSE),"")</f>
        <v/>
      </c>
      <c r="I1027" s="3">
        <f t="shared" ref="I1027:I1074" si="258">IF(A1027&lt;&gt;A1028,1,0)</f>
        <v>0</v>
      </c>
      <c r="L1027" s="35">
        <f t="shared" si="251"/>
        <v>1</v>
      </c>
      <c r="O1027" s="27">
        <f t="shared" ref="O1027:O1074" si="259">D1027</f>
        <v>0</v>
      </c>
      <c r="P1027" s="3">
        <v>1025</v>
      </c>
      <c r="Q1027" s="3" t="e">
        <f t="shared" si="248"/>
        <v>#N/A</v>
      </c>
      <c r="R1027" s="3" t="e">
        <f t="shared" si="249"/>
        <v>#N/A</v>
      </c>
      <c r="T1027" s="46" t="str">
        <f t="shared" ref="T1027:T1074" si="260">IFERROR(R1027,"")</f>
        <v/>
      </c>
      <c r="U1027" s="48" t="str">
        <f t="shared" ref="U1027:U1074" si="261">IFERROR(Q1027,"")</f>
        <v/>
      </c>
      <c r="W1027" s="56">
        <f t="shared" si="252"/>
        <v>0</v>
      </c>
      <c r="X1027" s="57" t="str">
        <f t="shared" si="253"/>
        <v/>
      </c>
      <c r="Y1027" s="58">
        <f t="shared" si="254"/>
        <v>0</v>
      </c>
      <c r="AA1027" s="62" t="str">
        <f t="shared" si="250"/>
        <v/>
      </c>
    </row>
    <row r="1028" spans="3:27">
      <c r="C1028" s="82"/>
      <c r="E1028" s="30" t="str">
        <f t="shared" ref="E1028:E1074" si="262">IF(A1028&lt;&gt;A1027,TEXT(C1028,"hh:mm:ss"),TEXT(C1028+E1027,"hh:mm:ss"))</f>
        <v>00:00:00</v>
      </c>
      <c r="F1028" s="36" t="str">
        <f t="shared" si="255"/>
        <v/>
      </c>
      <c r="G1028" s="36">
        <f t="shared" si="256"/>
        <v>0</v>
      </c>
      <c r="H1028" s="3" t="str">
        <f t="shared" si="257"/>
        <v/>
      </c>
      <c r="I1028" s="3">
        <f t="shared" si="258"/>
        <v>0</v>
      </c>
      <c r="L1028" s="35">
        <f t="shared" si="251"/>
        <v>1</v>
      </c>
      <c r="O1028" s="27">
        <f t="shared" si="259"/>
        <v>0</v>
      </c>
      <c r="P1028" s="3">
        <v>1026</v>
      </c>
      <c r="Q1028" s="3" t="e">
        <f t="shared" ref="Q1028:Q1074" si="263">VLOOKUP(P1028,M:O,3,FALSE)</f>
        <v>#N/A</v>
      </c>
      <c r="R1028" s="3" t="e">
        <f t="shared" ref="R1028:R1074" si="264">VLOOKUP(P1028,M:N,2,FALSE)</f>
        <v>#N/A</v>
      </c>
      <c r="T1028" s="46" t="str">
        <f t="shared" si="260"/>
        <v/>
      </c>
      <c r="U1028" s="48" t="str">
        <f t="shared" si="261"/>
        <v/>
      </c>
      <c r="W1028" s="56">
        <f t="shared" si="252"/>
        <v>0</v>
      </c>
      <c r="X1028" s="57" t="str">
        <f t="shared" si="253"/>
        <v/>
      </c>
      <c r="Y1028" s="58">
        <f t="shared" si="254"/>
        <v>0</v>
      </c>
      <c r="AA1028" s="62" t="str">
        <f t="shared" ref="AA1028:AA1074" si="265">IFERROR(VLOOKUP(Z1028,X:Y,2,FALSE),"")</f>
        <v/>
      </c>
    </row>
    <row r="1029" spans="3:27">
      <c r="C1029" s="82"/>
      <c r="E1029" s="30" t="str">
        <f t="shared" si="262"/>
        <v>00:00:00</v>
      </c>
      <c r="F1029" s="36" t="str">
        <f t="shared" si="255"/>
        <v/>
      </c>
      <c r="G1029" s="36">
        <f t="shared" si="256"/>
        <v>0</v>
      </c>
      <c r="H1029" s="3" t="str">
        <f t="shared" si="257"/>
        <v/>
      </c>
      <c r="I1029" s="3">
        <f t="shared" si="258"/>
        <v>0</v>
      </c>
      <c r="L1029" s="35">
        <f t="shared" si="251"/>
        <v>1</v>
      </c>
      <c r="O1029" s="27">
        <f t="shared" si="259"/>
        <v>0</v>
      </c>
      <c r="P1029" s="3">
        <v>1027</v>
      </c>
      <c r="Q1029" s="3" t="e">
        <f t="shared" si="263"/>
        <v>#N/A</v>
      </c>
      <c r="R1029" s="3" t="e">
        <f t="shared" si="264"/>
        <v>#N/A</v>
      </c>
      <c r="T1029" s="46" t="str">
        <f t="shared" si="260"/>
        <v/>
      </c>
      <c r="U1029" s="48" t="str">
        <f t="shared" si="261"/>
        <v/>
      </c>
      <c r="W1029" s="56">
        <f t="shared" si="252"/>
        <v>0</v>
      </c>
      <c r="X1029" s="57" t="str">
        <f t="shared" si="253"/>
        <v/>
      </c>
      <c r="Y1029" s="58">
        <f t="shared" si="254"/>
        <v>0</v>
      </c>
      <c r="AA1029" s="62" t="str">
        <f t="shared" si="265"/>
        <v/>
      </c>
    </row>
    <row r="1030" spans="3:27">
      <c r="C1030" s="82"/>
      <c r="E1030" s="30" t="str">
        <f t="shared" si="262"/>
        <v>00:00:00</v>
      </c>
      <c r="F1030" s="36" t="str">
        <f t="shared" si="255"/>
        <v/>
      </c>
      <c r="G1030" s="36">
        <f t="shared" si="256"/>
        <v>0</v>
      </c>
      <c r="H1030" s="3" t="str">
        <f t="shared" si="257"/>
        <v/>
      </c>
      <c r="I1030" s="3">
        <f t="shared" si="258"/>
        <v>0</v>
      </c>
      <c r="L1030" s="35">
        <f t="shared" si="251"/>
        <v>1</v>
      </c>
      <c r="O1030" s="27">
        <f t="shared" si="259"/>
        <v>0</v>
      </c>
      <c r="P1030" s="3">
        <v>1028</v>
      </c>
      <c r="Q1030" s="3" t="e">
        <f t="shared" si="263"/>
        <v>#N/A</v>
      </c>
      <c r="R1030" s="3" t="e">
        <f t="shared" si="264"/>
        <v>#N/A</v>
      </c>
      <c r="T1030" s="46" t="str">
        <f t="shared" si="260"/>
        <v/>
      </c>
      <c r="U1030" s="48" t="str">
        <f t="shared" si="261"/>
        <v/>
      </c>
      <c r="W1030" s="56">
        <f t="shared" si="252"/>
        <v>0</v>
      </c>
      <c r="X1030" s="57" t="str">
        <f t="shared" si="253"/>
        <v/>
      </c>
      <c r="Y1030" s="58">
        <f t="shared" si="254"/>
        <v>0</v>
      </c>
      <c r="AA1030" s="62" t="str">
        <f t="shared" si="265"/>
        <v/>
      </c>
    </row>
    <row r="1031" spans="3:27">
      <c r="C1031" s="82"/>
      <c r="E1031" s="30" t="str">
        <f t="shared" si="262"/>
        <v>00:00:00</v>
      </c>
      <c r="F1031" s="36" t="str">
        <f t="shared" si="255"/>
        <v/>
      </c>
      <c r="G1031" s="36">
        <f t="shared" si="256"/>
        <v>0</v>
      </c>
      <c r="H1031" s="3" t="str">
        <f t="shared" si="257"/>
        <v/>
      </c>
      <c r="I1031" s="3">
        <f t="shared" si="258"/>
        <v>0</v>
      </c>
      <c r="L1031" s="35">
        <f t="shared" si="251"/>
        <v>1</v>
      </c>
      <c r="O1031" s="27">
        <f t="shared" si="259"/>
        <v>0</v>
      </c>
      <c r="P1031" s="3">
        <v>1029</v>
      </c>
      <c r="Q1031" s="3" t="e">
        <f t="shared" si="263"/>
        <v>#N/A</v>
      </c>
      <c r="R1031" s="3" t="e">
        <f t="shared" si="264"/>
        <v>#N/A</v>
      </c>
      <c r="T1031" s="46" t="str">
        <f t="shared" si="260"/>
        <v/>
      </c>
      <c r="U1031" s="48" t="str">
        <f t="shared" si="261"/>
        <v/>
      </c>
      <c r="W1031" s="56">
        <f t="shared" si="252"/>
        <v>0</v>
      </c>
      <c r="X1031" s="57" t="str">
        <f t="shared" si="253"/>
        <v/>
      </c>
      <c r="Y1031" s="58">
        <f t="shared" si="254"/>
        <v>0</v>
      </c>
      <c r="AA1031" s="62" t="str">
        <f t="shared" si="265"/>
        <v/>
      </c>
    </row>
    <row r="1032" spans="3:27">
      <c r="C1032" s="82"/>
      <c r="E1032" s="30" t="str">
        <f t="shared" si="262"/>
        <v>00:00:00</v>
      </c>
      <c r="F1032" s="36" t="str">
        <f t="shared" si="255"/>
        <v/>
      </c>
      <c r="G1032" s="36">
        <f t="shared" si="256"/>
        <v>0</v>
      </c>
      <c r="H1032" s="3" t="str">
        <f t="shared" si="257"/>
        <v/>
      </c>
      <c r="I1032" s="3">
        <f t="shared" si="258"/>
        <v>0</v>
      </c>
      <c r="L1032" s="35">
        <f t="shared" si="251"/>
        <v>1</v>
      </c>
      <c r="O1032" s="27">
        <f t="shared" si="259"/>
        <v>0</v>
      </c>
      <c r="P1032" s="3">
        <v>1030</v>
      </c>
      <c r="Q1032" s="3" t="e">
        <f t="shared" si="263"/>
        <v>#N/A</v>
      </c>
      <c r="R1032" s="3" t="e">
        <f t="shared" si="264"/>
        <v>#N/A</v>
      </c>
      <c r="T1032" s="46" t="str">
        <f t="shared" si="260"/>
        <v/>
      </c>
      <c r="U1032" s="48" t="str">
        <f t="shared" si="261"/>
        <v/>
      </c>
      <c r="W1032" s="56">
        <f t="shared" si="252"/>
        <v>0</v>
      </c>
      <c r="X1032" s="57" t="str">
        <f t="shared" si="253"/>
        <v/>
      </c>
      <c r="Y1032" s="58">
        <f t="shared" si="254"/>
        <v>0</v>
      </c>
      <c r="AA1032" s="62" t="str">
        <f t="shared" si="265"/>
        <v/>
      </c>
    </row>
    <row r="1033" spans="3:27">
      <c r="C1033" s="82"/>
      <c r="E1033" s="30" t="str">
        <f t="shared" si="262"/>
        <v>00:00:00</v>
      </c>
      <c r="F1033" s="36" t="str">
        <f t="shared" si="255"/>
        <v/>
      </c>
      <c r="G1033" s="36">
        <f t="shared" si="256"/>
        <v>0</v>
      </c>
      <c r="H1033" s="3" t="str">
        <f t="shared" si="257"/>
        <v/>
      </c>
      <c r="I1033" s="3">
        <f t="shared" si="258"/>
        <v>0</v>
      </c>
      <c r="L1033" s="35">
        <f t="shared" si="251"/>
        <v>1</v>
      </c>
      <c r="O1033" s="27">
        <f t="shared" si="259"/>
        <v>0</v>
      </c>
      <c r="P1033" s="3">
        <v>1031</v>
      </c>
      <c r="Q1033" s="3" t="e">
        <f t="shared" si="263"/>
        <v>#N/A</v>
      </c>
      <c r="R1033" s="3" t="e">
        <f t="shared" si="264"/>
        <v>#N/A</v>
      </c>
      <c r="T1033" s="46" t="str">
        <f t="shared" si="260"/>
        <v/>
      </c>
      <c r="U1033" s="48" t="str">
        <f t="shared" si="261"/>
        <v/>
      </c>
      <c r="W1033" s="56">
        <f t="shared" si="252"/>
        <v>0</v>
      </c>
      <c r="X1033" s="57" t="str">
        <f t="shared" si="253"/>
        <v/>
      </c>
      <c r="Y1033" s="58">
        <f t="shared" si="254"/>
        <v>0</v>
      </c>
      <c r="AA1033" s="62" t="str">
        <f t="shared" si="265"/>
        <v/>
      </c>
    </row>
    <row r="1034" spans="3:27">
      <c r="C1034" s="82"/>
      <c r="E1034" s="30" t="str">
        <f t="shared" si="262"/>
        <v>00:00:00</v>
      </c>
      <c r="F1034" s="36" t="str">
        <f t="shared" si="255"/>
        <v/>
      </c>
      <c r="G1034" s="36">
        <f t="shared" si="256"/>
        <v>0</v>
      </c>
      <c r="H1034" s="3" t="str">
        <f t="shared" si="257"/>
        <v/>
      </c>
      <c r="I1034" s="3">
        <f t="shared" si="258"/>
        <v>0</v>
      </c>
      <c r="L1034" s="35">
        <f t="shared" si="251"/>
        <v>1</v>
      </c>
      <c r="O1034" s="27">
        <f t="shared" si="259"/>
        <v>0</v>
      </c>
      <c r="P1034" s="3">
        <v>1032</v>
      </c>
      <c r="Q1034" s="3" t="e">
        <f t="shared" si="263"/>
        <v>#N/A</v>
      </c>
      <c r="R1034" s="3" t="e">
        <f t="shared" si="264"/>
        <v>#N/A</v>
      </c>
      <c r="T1034" s="46" t="str">
        <f t="shared" si="260"/>
        <v/>
      </c>
      <c r="U1034" s="48" t="str">
        <f t="shared" si="261"/>
        <v/>
      </c>
      <c r="W1034" s="56">
        <f t="shared" si="252"/>
        <v>0</v>
      </c>
      <c r="X1034" s="57" t="str">
        <f t="shared" si="253"/>
        <v/>
      </c>
      <c r="Y1034" s="58">
        <f t="shared" si="254"/>
        <v>0</v>
      </c>
      <c r="AA1034" s="62" t="str">
        <f t="shared" si="265"/>
        <v/>
      </c>
    </row>
    <row r="1035" spans="3:27">
      <c r="C1035" s="82"/>
      <c r="E1035" s="30" t="str">
        <f t="shared" si="262"/>
        <v>00:00:00</v>
      </c>
      <c r="F1035" s="36" t="str">
        <f t="shared" si="255"/>
        <v/>
      </c>
      <c r="G1035" s="36">
        <f t="shared" si="256"/>
        <v>0</v>
      </c>
      <c r="H1035" s="3" t="str">
        <f t="shared" si="257"/>
        <v/>
      </c>
      <c r="I1035" s="3">
        <f t="shared" si="258"/>
        <v>0</v>
      </c>
      <c r="L1035" s="35">
        <f t="shared" si="251"/>
        <v>1</v>
      </c>
      <c r="O1035" s="27">
        <f t="shared" si="259"/>
        <v>0</v>
      </c>
      <c r="P1035" s="3">
        <v>1033</v>
      </c>
      <c r="Q1035" s="3" t="e">
        <f t="shared" si="263"/>
        <v>#N/A</v>
      </c>
      <c r="R1035" s="3" t="e">
        <f t="shared" si="264"/>
        <v>#N/A</v>
      </c>
      <c r="T1035" s="46" t="str">
        <f t="shared" si="260"/>
        <v/>
      </c>
      <c r="U1035" s="48" t="str">
        <f t="shared" si="261"/>
        <v/>
      </c>
      <c r="W1035" s="56">
        <f t="shared" si="252"/>
        <v>0</v>
      </c>
      <c r="X1035" s="57" t="str">
        <f t="shared" si="253"/>
        <v/>
      </c>
      <c r="Y1035" s="58">
        <f t="shared" si="254"/>
        <v>0</v>
      </c>
      <c r="AA1035" s="62" t="str">
        <f t="shared" si="265"/>
        <v/>
      </c>
    </row>
    <row r="1036" spans="3:27">
      <c r="C1036" s="82"/>
      <c r="E1036" s="30" t="str">
        <f t="shared" si="262"/>
        <v>00:00:00</v>
      </c>
      <c r="F1036" s="36" t="str">
        <f t="shared" si="255"/>
        <v/>
      </c>
      <c r="G1036" s="36">
        <f t="shared" si="256"/>
        <v>0</v>
      </c>
      <c r="H1036" s="3" t="str">
        <f t="shared" si="257"/>
        <v/>
      </c>
      <c r="I1036" s="3">
        <f t="shared" si="258"/>
        <v>0</v>
      </c>
      <c r="L1036" s="35">
        <f t="shared" ref="L1036:L1074" si="266">IF(I1035=1,L1035+I1035,L1035)</f>
        <v>1</v>
      </c>
      <c r="O1036" s="27">
        <f t="shared" si="259"/>
        <v>0</v>
      </c>
      <c r="P1036" s="3">
        <v>1034</v>
      </c>
      <c r="Q1036" s="3" t="e">
        <f t="shared" si="263"/>
        <v>#N/A</v>
      </c>
      <c r="R1036" s="3" t="e">
        <f t="shared" si="264"/>
        <v>#N/A</v>
      </c>
      <c r="T1036" s="46" t="str">
        <f t="shared" si="260"/>
        <v/>
      </c>
      <c r="U1036" s="48" t="str">
        <f t="shared" si="261"/>
        <v/>
      </c>
      <c r="W1036" s="56">
        <f t="shared" si="252"/>
        <v>0</v>
      </c>
      <c r="X1036" s="57" t="str">
        <f t="shared" si="253"/>
        <v/>
      </c>
      <c r="Y1036" s="58">
        <f t="shared" si="254"/>
        <v>0</v>
      </c>
      <c r="AA1036" s="62" t="str">
        <f t="shared" si="265"/>
        <v/>
      </c>
    </row>
    <row r="1037" spans="3:27">
      <c r="C1037" s="82"/>
      <c r="E1037" s="30" t="str">
        <f t="shared" si="262"/>
        <v>00:00:00</v>
      </c>
      <c r="F1037" s="36" t="str">
        <f t="shared" si="255"/>
        <v/>
      </c>
      <c r="G1037" s="36">
        <f t="shared" si="256"/>
        <v>0</v>
      </c>
      <c r="H1037" s="3" t="str">
        <f t="shared" si="257"/>
        <v/>
      </c>
      <c r="I1037" s="3">
        <f t="shared" si="258"/>
        <v>0</v>
      </c>
      <c r="L1037" s="35">
        <f t="shared" si="266"/>
        <v>1</v>
      </c>
      <c r="O1037" s="27">
        <f t="shared" si="259"/>
        <v>0</v>
      </c>
      <c r="P1037" s="3">
        <v>1035</v>
      </c>
      <c r="Q1037" s="3" t="e">
        <f t="shared" si="263"/>
        <v>#N/A</v>
      </c>
      <c r="R1037" s="3" t="e">
        <f t="shared" si="264"/>
        <v>#N/A</v>
      </c>
      <c r="T1037" s="46" t="str">
        <f t="shared" si="260"/>
        <v/>
      </c>
      <c r="U1037" s="48" t="str">
        <f t="shared" si="261"/>
        <v/>
      </c>
      <c r="W1037" s="56">
        <f t="shared" si="252"/>
        <v>0</v>
      </c>
      <c r="X1037" s="57" t="str">
        <f t="shared" si="253"/>
        <v/>
      </c>
      <c r="Y1037" s="58">
        <f t="shared" si="254"/>
        <v>0</v>
      </c>
      <c r="AA1037" s="62" t="str">
        <f t="shared" si="265"/>
        <v/>
      </c>
    </row>
    <row r="1038" spans="3:27">
      <c r="C1038" s="82"/>
      <c r="E1038" s="30" t="str">
        <f t="shared" si="262"/>
        <v>00:00:00</v>
      </c>
      <c r="F1038" s="36" t="str">
        <f t="shared" si="255"/>
        <v/>
      </c>
      <c r="G1038" s="36">
        <f t="shared" si="256"/>
        <v>0</v>
      </c>
      <c r="H1038" s="3" t="str">
        <f t="shared" si="257"/>
        <v/>
      </c>
      <c r="I1038" s="3">
        <f t="shared" si="258"/>
        <v>0</v>
      </c>
      <c r="L1038" s="35">
        <f t="shared" si="266"/>
        <v>1</v>
      </c>
      <c r="O1038" s="27">
        <f t="shared" si="259"/>
        <v>0</v>
      </c>
      <c r="P1038" s="3">
        <v>1036</v>
      </c>
      <c r="Q1038" s="3" t="e">
        <f t="shared" si="263"/>
        <v>#N/A</v>
      </c>
      <c r="R1038" s="3" t="e">
        <f t="shared" si="264"/>
        <v>#N/A</v>
      </c>
      <c r="T1038" s="46" t="str">
        <f t="shared" si="260"/>
        <v/>
      </c>
      <c r="U1038" s="48" t="str">
        <f t="shared" si="261"/>
        <v/>
      </c>
      <c r="W1038" s="56">
        <f t="shared" si="252"/>
        <v>0</v>
      </c>
      <c r="X1038" s="57" t="str">
        <f t="shared" si="253"/>
        <v/>
      </c>
      <c r="Y1038" s="58">
        <f t="shared" si="254"/>
        <v>0</v>
      </c>
      <c r="AA1038" s="62" t="str">
        <f t="shared" si="265"/>
        <v/>
      </c>
    </row>
    <row r="1039" spans="3:27">
      <c r="C1039" s="82"/>
      <c r="E1039" s="30" t="str">
        <f t="shared" si="262"/>
        <v>00:00:00</v>
      </c>
      <c r="F1039" s="36" t="str">
        <f t="shared" si="255"/>
        <v/>
      </c>
      <c r="G1039" s="36">
        <f t="shared" si="256"/>
        <v>0</v>
      </c>
      <c r="H1039" s="3" t="str">
        <f t="shared" si="257"/>
        <v/>
      </c>
      <c r="I1039" s="3">
        <f t="shared" si="258"/>
        <v>0</v>
      </c>
      <c r="L1039" s="35">
        <f t="shared" si="266"/>
        <v>1</v>
      </c>
      <c r="O1039" s="27">
        <f t="shared" si="259"/>
        <v>0</v>
      </c>
      <c r="P1039" s="3">
        <v>1037</v>
      </c>
      <c r="Q1039" s="3" t="e">
        <f t="shared" si="263"/>
        <v>#N/A</v>
      </c>
      <c r="R1039" s="3" t="e">
        <f t="shared" si="264"/>
        <v>#N/A</v>
      </c>
      <c r="T1039" s="46" t="str">
        <f t="shared" si="260"/>
        <v/>
      </c>
      <c r="U1039" s="48" t="str">
        <f t="shared" si="261"/>
        <v/>
      </c>
      <c r="W1039" s="56">
        <f t="shared" si="252"/>
        <v>0</v>
      </c>
      <c r="X1039" s="57" t="str">
        <f t="shared" si="253"/>
        <v/>
      </c>
      <c r="Y1039" s="58">
        <f t="shared" si="254"/>
        <v>0</v>
      </c>
      <c r="AA1039" s="62" t="str">
        <f t="shared" si="265"/>
        <v/>
      </c>
    </row>
    <row r="1040" spans="3:27">
      <c r="C1040" s="82"/>
      <c r="E1040" s="30" t="str">
        <f t="shared" si="262"/>
        <v>00:00:00</v>
      </c>
      <c r="F1040" s="36" t="str">
        <f t="shared" si="255"/>
        <v/>
      </c>
      <c r="G1040" s="36">
        <f t="shared" si="256"/>
        <v>0</v>
      </c>
      <c r="H1040" s="3" t="str">
        <f t="shared" si="257"/>
        <v/>
      </c>
      <c r="I1040" s="3">
        <f t="shared" si="258"/>
        <v>0</v>
      </c>
      <c r="L1040" s="35">
        <f t="shared" si="266"/>
        <v>1</v>
      </c>
      <c r="O1040" s="27">
        <f t="shared" si="259"/>
        <v>0</v>
      </c>
      <c r="P1040" s="3">
        <v>1038</v>
      </c>
      <c r="Q1040" s="3" t="e">
        <f t="shared" si="263"/>
        <v>#N/A</v>
      </c>
      <c r="R1040" s="3" t="e">
        <f t="shared" si="264"/>
        <v>#N/A</v>
      </c>
      <c r="T1040" s="46" t="str">
        <f t="shared" si="260"/>
        <v/>
      </c>
      <c r="U1040" s="48" t="str">
        <f t="shared" si="261"/>
        <v/>
      </c>
      <c r="W1040" s="56">
        <f t="shared" si="252"/>
        <v>0</v>
      </c>
      <c r="X1040" s="57" t="str">
        <f t="shared" si="253"/>
        <v/>
      </c>
      <c r="Y1040" s="58">
        <f t="shared" si="254"/>
        <v>0</v>
      </c>
      <c r="AA1040" s="62" t="str">
        <f t="shared" si="265"/>
        <v/>
      </c>
    </row>
    <row r="1041" spans="3:27">
      <c r="C1041" s="82"/>
      <c r="E1041" s="30" t="str">
        <f t="shared" si="262"/>
        <v>00:00:00</v>
      </c>
      <c r="F1041" s="36" t="str">
        <f t="shared" si="255"/>
        <v/>
      </c>
      <c r="G1041" s="36">
        <f t="shared" si="256"/>
        <v>0</v>
      </c>
      <c r="H1041" s="3" t="str">
        <f t="shared" si="257"/>
        <v/>
      </c>
      <c r="I1041" s="3">
        <f t="shared" si="258"/>
        <v>0</v>
      </c>
      <c r="L1041" s="35">
        <f t="shared" si="266"/>
        <v>1</v>
      </c>
      <c r="O1041" s="27">
        <f t="shared" si="259"/>
        <v>0</v>
      </c>
      <c r="P1041" s="3">
        <v>1039</v>
      </c>
      <c r="Q1041" s="3" t="e">
        <f t="shared" si="263"/>
        <v>#N/A</v>
      </c>
      <c r="R1041" s="3" t="e">
        <f t="shared" si="264"/>
        <v>#N/A</v>
      </c>
      <c r="T1041" s="46" t="str">
        <f t="shared" si="260"/>
        <v/>
      </c>
      <c r="U1041" s="48" t="str">
        <f t="shared" si="261"/>
        <v/>
      </c>
      <c r="W1041" s="56">
        <f t="shared" si="252"/>
        <v>0</v>
      </c>
      <c r="X1041" s="57" t="str">
        <f t="shared" si="253"/>
        <v/>
      </c>
      <c r="Y1041" s="58">
        <f t="shared" si="254"/>
        <v>0</v>
      </c>
      <c r="AA1041" s="62" t="str">
        <f t="shared" si="265"/>
        <v/>
      </c>
    </row>
    <row r="1042" spans="3:27">
      <c r="C1042" s="82"/>
      <c r="E1042" s="30" t="str">
        <f t="shared" si="262"/>
        <v>00:00:00</v>
      </c>
      <c r="F1042" s="36" t="str">
        <f t="shared" si="255"/>
        <v/>
      </c>
      <c r="G1042" s="36">
        <f t="shared" si="256"/>
        <v>0</v>
      </c>
      <c r="H1042" s="3" t="str">
        <f t="shared" si="257"/>
        <v/>
      </c>
      <c r="I1042" s="3">
        <f t="shared" si="258"/>
        <v>0</v>
      </c>
      <c r="L1042" s="35">
        <f t="shared" si="266"/>
        <v>1</v>
      </c>
      <c r="O1042" s="27">
        <f t="shared" si="259"/>
        <v>0</v>
      </c>
      <c r="P1042" s="3">
        <v>1040</v>
      </c>
      <c r="Q1042" s="3" t="e">
        <f t="shared" si="263"/>
        <v>#N/A</v>
      </c>
      <c r="R1042" s="3" t="e">
        <f t="shared" si="264"/>
        <v>#N/A</v>
      </c>
      <c r="T1042" s="46" t="str">
        <f t="shared" si="260"/>
        <v/>
      </c>
      <c r="U1042" s="48" t="str">
        <f t="shared" si="261"/>
        <v/>
      </c>
      <c r="W1042" s="56">
        <f t="shared" si="252"/>
        <v>0</v>
      </c>
      <c r="X1042" s="57" t="str">
        <f t="shared" si="253"/>
        <v/>
      </c>
      <c r="Y1042" s="58">
        <f t="shared" si="254"/>
        <v>0</v>
      </c>
      <c r="AA1042" s="62" t="str">
        <f t="shared" si="265"/>
        <v/>
      </c>
    </row>
    <row r="1043" spans="3:27">
      <c r="C1043" s="82"/>
      <c r="E1043" s="30" t="str">
        <f t="shared" si="262"/>
        <v>00:00:00</v>
      </c>
      <c r="F1043" s="36" t="str">
        <f t="shared" si="255"/>
        <v/>
      </c>
      <c r="G1043" s="36">
        <f t="shared" si="256"/>
        <v>0</v>
      </c>
      <c r="H1043" s="3" t="str">
        <f t="shared" si="257"/>
        <v/>
      </c>
      <c r="I1043" s="3">
        <f t="shared" si="258"/>
        <v>0</v>
      </c>
      <c r="L1043" s="35">
        <f t="shared" si="266"/>
        <v>1</v>
      </c>
      <c r="O1043" s="27">
        <f t="shared" si="259"/>
        <v>0</v>
      </c>
      <c r="P1043" s="3">
        <v>1041</v>
      </c>
      <c r="Q1043" s="3" t="e">
        <f t="shared" si="263"/>
        <v>#N/A</v>
      </c>
      <c r="R1043" s="3" t="e">
        <f t="shared" si="264"/>
        <v>#N/A</v>
      </c>
      <c r="T1043" s="46" t="str">
        <f t="shared" si="260"/>
        <v/>
      </c>
      <c r="U1043" s="48" t="str">
        <f t="shared" si="261"/>
        <v/>
      </c>
      <c r="W1043" s="56">
        <f t="shared" si="252"/>
        <v>0</v>
      </c>
      <c r="X1043" s="57" t="str">
        <f t="shared" si="253"/>
        <v/>
      </c>
      <c r="Y1043" s="58">
        <f t="shared" si="254"/>
        <v>0</v>
      </c>
      <c r="AA1043" s="62" t="str">
        <f t="shared" si="265"/>
        <v/>
      </c>
    </row>
    <row r="1044" spans="3:27">
      <c r="C1044" s="82"/>
      <c r="E1044" s="30" t="str">
        <f t="shared" si="262"/>
        <v>00:00:00</v>
      </c>
      <c r="F1044" s="36" t="str">
        <f t="shared" si="255"/>
        <v/>
      </c>
      <c r="G1044" s="36">
        <f t="shared" si="256"/>
        <v>0</v>
      </c>
      <c r="H1044" s="3" t="str">
        <f t="shared" si="257"/>
        <v/>
      </c>
      <c r="I1044" s="3">
        <f t="shared" si="258"/>
        <v>0</v>
      </c>
      <c r="L1044" s="35">
        <f t="shared" si="266"/>
        <v>1</v>
      </c>
      <c r="O1044" s="27">
        <f t="shared" si="259"/>
        <v>0</v>
      </c>
      <c r="P1044" s="3">
        <v>1042</v>
      </c>
      <c r="Q1044" s="3" t="e">
        <f t="shared" si="263"/>
        <v>#N/A</v>
      </c>
      <c r="R1044" s="3" t="e">
        <f t="shared" si="264"/>
        <v>#N/A</v>
      </c>
      <c r="T1044" s="46" t="str">
        <f t="shared" si="260"/>
        <v/>
      </c>
      <c r="U1044" s="48" t="str">
        <f t="shared" si="261"/>
        <v/>
      </c>
      <c r="W1044" s="56">
        <f t="shared" si="252"/>
        <v>0</v>
      </c>
      <c r="X1044" s="57" t="str">
        <f t="shared" si="253"/>
        <v/>
      </c>
      <c r="Y1044" s="58">
        <f t="shared" si="254"/>
        <v>0</v>
      </c>
      <c r="AA1044" s="62" t="str">
        <f t="shared" si="265"/>
        <v/>
      </c>
    </row>
    <row r="1045" spans="3:27">
      <c r="C1045" s="82"/>
      <c r="E1045" s="30" t="str">
        <f t="shared" si="262"/>
        <v>00:00:00</v>
      </c>
      <c r="F1045" s="36" t="str">
        <f t="shared" si="255"/>
        <v/>
      </c>
      <c r="G1045" s="36">
        <f t="shared" si="256"/>
        <v>0</v>
      </c>
      <c r="H1045" s="3" t="str">
        <f t="shared" si="257"/>
        <v/>
      </c>
      <c r="I1045" s="3">
        <f t="shared" si="258"/>
        <v>0</v>
      </c>
      <c r="L1045" s="35">
        <f t="shared" si="266"/>
        <v>1</v>
      </c>
      <c r="O1045" s="27">
        <f t="shared" si="259"/>
        <v>0</v>
      </c>
      <c r="P1045" s="3">
        <v>1043</v>
      </c>
      <c r="Q1045" s="3" t="e">
        <f t="shared" si="263"/>
        <v>#N/A</v>
      </c>
      <c r="R1045" s="3" t="e">
        <f t="shared" si="264"/>
        <v>#N/A</v>
      </c>
      <c r="T1045" s="46" t="str">
        <f t="shared" si="260"/>
        <v/>
      </c>
      <c r="U1045" s="48" t="str">
        <f t="shared" si="261"/>
        <v/>
      </c>
      <c r="W1045" s="56">
        <f t="shared" si="252"/>
        <v>0</v>
      </c>
      <c r="X1045" s="57" t="str">
        <f t="shared" si="253"/>
        <v/>
      </c>
      <c r="Y1045" s="58">
        <f t="shared" si="254"/>
        <v>0</v>
      </c>
      <c r="AA1045" s="62" t="str">
        <f t="shared" si="265"/>
        <v/>
      </c>
    </row>
    <row r="1046" spans="3:27">
      <c r="C1046" s="82"/>
      <c r="E1046" s="30" t="str">
        <f t="shared" si="262"/>
        <v>00:00:00</v>
      </c>
      <c r="F1046" s="36" t="str">
        <f t="shared" si="255"/>
        <v/>
      </c>
      <c r="G1046" s="36">
        <f t="shared" si="256"/>
        <v>0</v>
      </c>
      <c r="H1046" s="3" t="str">
        <f t="shared" si="257"/>
        <v/>
      </c>
      <c r="I1046" s="3">
        <f t="shared" si="258"/>
        <v>0</v>
      </c>
      <c r="L1046" s="35">
        <f t="shared" si="266"/>
        <v>1</v>
      </c>
      <c r="O1046" s="27">
        <f t="shared" si="259"/>
        <v>0</v>
      </c>
      <c r="P1046" s="3">
        <v>1044</v>
      </c>
      <c r="Q1046" s="3" t="e">
        <f t="shared" si="263"/>
        <v>#N/A</v>
      </c>
      <c r="R1046" s="3" t="e">
        <f t="shared" si="264"/>
        <v>#N/A</v>
      </c>
      <c r="T1046" s="46" t="str">
        <f t="shared" si="260"/>
        <v/>
      </c>
      <c r="U1046" s="48" t="str">
        <f t="shared" si="261"/>
        <v/>
      </c>
      <c r="W1046" s="56">
        <f t="shared" si="252"/>
        <v>0</v>
      </c>
      <c r="X1046" s="57" t="str">
        <f t="shared" si="253"/>
        <v/>
      </c>
      <c r="Y1046" s="58">
        <f t="shared" si="254"/>
        <v>0</v>
      </c>
      <c r="AA1046" s="62" t="str">
        <f t="shared" si="265"/>
        <v/>
      </c>
    </row>
    <row r="1047" spans="3:27">
      <c r="C1047" s="82"/>
      <c r="E1047" s="30" t="str">
        <f t="shared" si="262"/>
        <v>00:00:00</v>
      </c>
      <c r="F1047" s="36" t="str">
        <f t="shared" si="255"/>
        <v/>
      </c>
      <c r="G1047" s="36">
        <f t="shared" si="256"/>
        <v>0</v>
      </c>
      <c r="H1047" s="3" t="str">
        <f t="shared" si="257"/>
        <v/>
      </c>
      <c r="I1047" s="3">
        <f t="shared" si="258"/>
        <v>0</v>
      </c>
      <c r="L1047" s="35">
        <f t="shared" si="266"/>
        <v>1</v>
      </c>
      <c r="O1047" s="27">
        <f t="shared" si="259"/>
        <v>0</v>
      </c>
      <c r="P1047" s="3">
        <v>1045</v>
      </c>
      <c r="Q1047" s="3" t="e">
        <f t="shared" si="263"/>
        <v>#N/A</v>
      </c>
      <c r="R1047" s="3" t="e">
        <f t="shared" si="264"/>
        <v>#N/A</v>
      </c>
      <c r="T1047" s="46" t="str">
        <f t="shared" si="260"/>
        <v/>
      </c>
      <c r="U1047" s="48" t="str">
        <f t="shared" si="261"/>
        <v/>
      </c>
      <c r="W1047" s="56">
        <f t="shared" si="252"/>
        <v>0</v>
      </c>
      <c r="X1047" s="57" t="str">
        <f t="shared" si="253"/>
        <v/>
      </c>
      <c r="Y1047" s="58">
        <f t="shared" si="254"/>
        <v>0</v>
      </c>
      <c r="AA1047" s="62" t="str">
        <f t="shared" si="265"/>
        <v/>
      </c>
    </row>
    <row r="1048" spans="3:27">
      <c r="C1048" s="82"/>
      <c r="E1048" s="30" t="str">
        <f t="shared" si="262"/>
        <v>00:00:00</v>
      </c>
      <c r="F1048" s="36" t="str">
        <f t="shared" si="255"/>
        <v/>
      </c>
      <c r="G1048" s="36">
        <f t="shared" si="256"/>
        <v>0</v>
      </c>
      <c r="H1048" s="3" t="str">
        <f t="shared" si="257"/>
        <v/>
      </c>
      <c r="I1048" s="3">
        <f t="shared" si="258"/>
        <v>0</v>
      </c>
      <c r="L1048" s="35">
        <f t="shared" si="266"/>
        <v>1</v>
      </c>
      <c r="O1048" s="27">
        <f t="shared" si="259"/>
        <v>0</v>
      </c>
      <c r="P1048" s="3">
        <v>1046</v>
      </c>
      <c r="Q1048" s="3" t="e">
        <f t="shared" si="263"/>
        <v>#N/A</v>
      </c>
      <c r="R1048" s="3" t="e">
        <f t="shared" si="264"/>
        <v>#N/A</v>
      </c>
      <c r="T1048" s="46" t="str">
        <f t="shared" si="260"/>
        <v/>
      </c>
      <c r="U1048" s="48" t="str">
        <f t="shared" si="261"/>
        <v/>
      </c>
      <c r="W1048" s="56">
        <f t="shared" si="252"/>
        <v>0</v>
      </c>
      <c r="X1048" s="57" t="str">
        <f t="shared" si="253"/>
        <v/>
      </c>
      <c r="Y1048" s="58">
        <f t="shared" si="254"/>
        <v>0</v>
      </c>
      <c r="AA1048" s="62" t="str">
        <f t="shared" si="265"/>
        <v/>
      </c>
    </row>
    <row r="1049" spans="3:27">
      <c r="C1049" s="82"/>
      <c r="E1049" s="30" t="str">
        <f t="shared" si="262"/>
        <v>00:00:00</v>
      </c>
      <c r="F1049" s="36" t="str">
        <f t="shared" si="255"/>
        <v/>
      </c>
      <c r="G1049" s="36">
        <f t="shared" si="256"/>
        <v>0</v>
      </c>
      <c r="H1049" s="3" t="str">
        <f t="shared" si="257"/>
        <v/>
      </c>
      <c r="I1049" s="3">
        <f t="shared" si="258"/>
        <v>0</v>
      </c>
      <c r="L1049" s="35">
        <f t="shared" si="266"/>
        <v>1</v>
      </c>
      <c r="O1049" s="27">
        <f t="shared" si="259"/>
        <v>0</v>
      </c>
      <c r="P1049" s="3">
        <v>1047</v>
      </c>
      <c r="Q1049" s="3" t="e">
        <f t="shared" si="263"/>
        <v>#N/A</v>
      </c>
      <c r="R1049" s="3" t="e">
        <f t="shared" si="264"/>
        <v>#N/A</v>
      </c>
      <c r="T1049" s="46" t="str">
        <f t="shared" si="260"/>
        <v/>
      </c>
      <c r="U1049" s="48" t="str">
        <f t="shared" si="261"/>
        <v/>
      </c>
      <c r="W1049" s="56">
        <f t="shared" si="252"/>
        <v>0</v>
      </c>
      <c r="X1049" s="57" t="str">
        <f t="shared" si="253"/>
        <v/>
      </c>
      <c r="Y1049" s="58">
        <f t="shared" si="254"/>
        <v>0</v>
      </c>
      <c r="AA1049" s="62" t="str">
        <f t="shared" si="265"/>
        <v/>
      </c>
    </row>
    <row r="1050" spans="3:27">
      <c r="C1050" s="82"/>
      <c r="E1050" s="30" t="str">
        <f t="shared" si="262"/>
        <v>00:00:00</v>
      </c>
      <c r="F1050" s="36" t="str">
        <f t="shared" si="255"/>
        <v/>
      </c>
      <c r="G1050" s="36">
        <f t="shared" si="256"/>
        <v>0</v>
      </c>
      <c r="H1050" s="3" t="str">
        <f t="shared" si="257"/>
        <v/>
      </c>
      <c r="I1050" s="3">
        <f t="shared" si="258"/>
        <v>0</v>
      </c>
      <c r="L1050" s="35">
        <f t="shared" si="266"/>
        <v>1</v>
      </c>
      <c r="O1050" s="27">
        <f t="shared" si="259"/>
        <v>0</v>
      </c>
      <c r="P1050" s="3">
        <v>1048</v>
      </c>
      <c r="Q1050" s="3" t="e">
        <f t="shared" si="263"/>
        <v>#N/A</v>
      </c>
      <c r="R1050" s="3" t="e">
        <f t="shared" si="264"/>
        <v>#N/A</v>
      </c>
      <c r="T1050" s="46" t="str">
        <f t="shared" si="260"/>
        <v/>
      </c>
      <c r="U1050" s="48" t="str">
        <f t="shared" si="261"/>
        <v/>
      </c>
      <c r="W1050" s="56">
        <f t="shared" si="252"/>
        <v>0</v>
      </c>
      <c r="X1050" s="57" t="str">
        <f t="shared" si="253"/>
        <v/>
      </c>
      <c r="Y1050" s="58">
        <f t="shared" si="254"/>
        <v>0</v>
      </c>
      <c r="AA1050" s="62" t="str">
        <f t="shared" si="265"/>
        <v/>
      </c>
    </row>
    <row r="1051" spans="3:27">
      <c r="C1051" s="82"/>
      <c r="E1051" s="30" t="str">
        <f t="shared" si="262"/>
        <v>00:00:00</v>
      </c>
      <c r="F1051" s="36" t="str">
        <f t="shared" si="255"/>
        <v/>
      </c>
      <c r="G1051" s="36">
        <f t="shared" si="256"/>
        <v>0</v>
      </c>
      <c r="H1051" s="3" t="str">
        <f t="shared" si="257"/>
        <v/>
      </c>
      <c r="I1051" s="3">
        <f t="shared" si="258"/>
        <v>0</v>
      </c>
      <c r="L1051" s="35">
        <f t="shared" si="266"/>
        <v>1</v>
      </c>
      <c r="O1051" s="27">
        <f t="shared" si="259"/>
        <v>0</v>
      </c>
      <c r="P1051" s="3">
        <v>1049</v>
      </c>
      <c r="Q1051" s="3" t="e">
        <f t="shared" si="263"/>
        <v>#N/A</v>
      </c>
      <c r="R1051" s="3" t="e">
        <f t="shared" si="264"/>
        <v>#N/A</v>
      </c>
      <c r="T1051" s="46" t="str">
        <f t="shared" si="260"/>
        <v/>
      </c>
      <c r="U1051" s="48" t="str">
        <f t="shared" si="261"/>
        <v/>
      </c>
      <c r="W1051" s="56">
        <f t="shared" si="252"/>
        <v>0</v>
      </c>
      <c r="X1051" s="57" t="str">
        <f t="shared" si="253"/>
        <v/>
      </c>
      <c r="Y1051" s="58">
        <f t="shared" si="254"/>
        <v>0</v>
      </c>
      <c r="AA1051" s="62" t="str">
        <f t="shared" si="265"/>
        <v/>
      </c>
    </row>
    <row r="1052" spans="3:27">
      <c r="C1052" s="82"/>
      <c r="E1052" s="30" t="str">
        <f t="shared" si="262"/>
        <v>00:00:00</v>
      </c>
      <c r="F1052" s="36" t="str">
        <f t="shared" si="255"/>
        <v/>
      </c>
      <c r="G1052" s="36">
        <f t="shared" si="256"/>
        <v>0</v>
      </c>
      <c r="H1052" s="3" t="str">
        <f t="shared" si="257"/>
        <v/>
      </c>
      <c r="I1052" s="3">
        <f t="shared" si="258"/>
        <v>0</v>
      </c>
      <c r="L1052" s="35">
        <f t="shared" si="266"/>
        <v>1</v>
      </c>
      <c r="O1052" s="27">
        <f t="shared" si="259"/>
        <v>0</v>
      </c>
      <c r="P1052" s="3">
        <v>1050</v>
      </c>
      <c r="Q1052" s="3" t="e">
        <f t="shared" si="263"/>
        <v>#N/A</v>
      </c>
      <c r="R1052" s="3" t="e">
        <f t="shared" si="264"/>
        <v>#N/A</v>
      </c>
      <c r="T1052" s="46" t="str">
        <f t="shared" si="260"/>
        <v/>
      </c>
      <c r="U1052" s="48" t="str">
        <f t="shared" si="261"/>
        <v/>
      </c>
      <c r="W1052" s="56">
        <f t="shared" si="252"/>
        <v>0</v>
      </c>
      <c r="X1052" s="57" t="str">
        <f t="shared" si="253"/>
        <v/>
      </c>
      <c r="Y1052" s="58">
        <f t="shared" si="254"/>
        <v>0</v>
      </c>
      <c r="AA1052" s="62" t="str">
        <f t="shared" si="265"/>
        <v/>
      </c>
    </row>
    <row r="1053" spans="3:27">
      <c r="C1053" s="82"/>
      <c r="E1053" s="30" t="str">
        <f t="shared" si="262"/>
        <v>00:00:00</v>
      </c>
      <c r="F1053" s="36" t="str">
        <f t="shared" si="255"/>
        <v/>
      </c>
      <c r="G1053" s="36">
        <f t="shared" si="256"/>
        <v>0</v>
      </c>
      <c r="H1053" s="3" t="str">
        <f t="shared" si="257"/>
        <v/>
      </c>
      <c r="I1053" s="3">
        <f t="shared" si="258"/>
        <v>0</v>
      </c>
      <c r="L1053" s="35">
        <f t="shared" si="266"/>
        <v>1</v>
      </c>
      <c r="O1053" s="27">
        <f t="shared" si="259"/>
        <v>0</v>
      </c>
      <c r="P1053" s="3">
        <v>1051</v>
      </c>
      <c r="Q1053" s="3" t="e">
        <f t="shared" si="263"/>
        <v>#N/A</v>
      </c>
      <c r="R1053" s="3" t="e">
        <f t="shared" si="264"/>
        <v>#N/A</v>
      </c>
      <c r="T1053" s="46" t="str">
        <f t="shared" si="260"/>
        <v/>
      </c>
      <c r="U1053" s="48" t="str">
        <f t="shared" si="261"/>
        <v/>
      </c>
      <c r="W1053" s="56">
        <f t="shared" si="252"/>
        <v>0</v>
      </c>
      <c r="X1053" s="57" t="str">
        <f t="shared" si="253"/>
        <v/>
      </c>
      <c r="Y1053" s="58">
        <f t="shared" si="254"/>
        <v>0</v>
      </c>
      <c r="AA1053" s="62" t="str">
        <f t="shared" si="265"/>
        <v/>
      </c>
    </row>
    <row r="1054" spans="3:27">
      <c r="C1054" s="82"/>
      <c r="E1054" s="30" t="str">
        <f t="shared" si="262"/>
        <v>00:00:00</v>
      </c>
      <c r="F1054" s="36" t="str">
        <f t="shared" si="255"/>
        <v/>
      </c>
      <c r="G1054" s="36">
        <f t="shared" si="256"/>
        <v>0</v>
      </c>
      <c r="H1054" s="3" t="str">
        <f t="shared" si="257"/>
        <v/>
      </c>
      <c r="I1054" s="3">
        <f t="shared" si="258"/>
        <v>0</v>
      </c>
      <c r="L1054" s="35">
        <f t="shared" si="266"/>
        <v>1</v>
      </c>
      <c r="O1054" s="27">
        <f t="shared" si="259"/>
        <v>0</v>
      </c>
      <c r="P1054" s="3">
        <v>1052</v>
      </c>
      <c r="Q1054" s="3" t="e">
        <f t="shared" si="263"/>
        <v>#N/A</v>
      </c>
      <c r="R1054" s="3" t="e">
        <f t="shared" si="264"/>
        <v>#N/A</v>
      </c>
      <c r="T1054" s="46" t="str">
        <f t="shared" si="260"/>
        <v/>
      </c>
      <c r="U1054" s="48" t="str">
        <f t="shared" si="261"/>
        <v/>
      </c>
      <c r="W1054" s="56">
        <f t="shared" si="252"/>
        <v>0</v>
      </c>
      <c r="X1054" s="57" t="str">
        <f t="shared" si="253"/>
        <v/>
      </c>
      <c r="Y1054" s="58">
        <f t="shared" si="254"/>
        <v>0</v>
      </c>
      <c r="AA1054" s="62" t="str">
        <f t="shared" si="265"/>
        <v/>
      </c>
    </row>
    <row r="1055" spans="3:27">
      <c r="C1055" s="82"/>
      <c r="E1055" s="30" t="str">
        <f t="shared" si="262"/>
        <v>00:00:00</v>
      </c>
      <c r="F1055" s="36" t="str">
        <f t="shared" si="255"/>
        <v/>
      </c>
      <c r="G1055" s="36">
        <f t="shared" si="256"/>
        <v>0</v>
      </c>
      <c r="H1055" s="3" t="str">
        <f t="shared" si="257"/>
        <v/>
      </c>
      <c r="I1055" s="3">
        <f t="shared" si="258"/>
        <v>0</v>
      </c>
      <c r="L1055" s="35">
        <f t="shared" si="266"/>
        <v>1</v>
      </c>
      <c r="O1055" s="27">
        <f t="shared" si="259"/>
        <v>0</v>
      </c>
      <c r="P1055" s="3">
        <v>1053</v>
      </c>
      <c r="Q1055" s="3" t="e">
        <f t="shared" si="263"/>
        <v>#N/A</v>
      </c>
      <c r="R1055" s="3" t="e">
        <f t="shared" si="264"/>
        <v>#N/A</v>
      </c>
      <c r="T1055" s="46" t="str">
        <f t="shared" si="260"/>
        <v/>
      </c>
      <c r="U1055" s="48" t="str">
        <f t="shared" si="261"/>
        <v/>
      </c>
      <c r="W1055" s="56">
        <f t="shared" si="252"/>
        <v>0</v>
      </c>
      <c r="X1055" s="57" t="str">
        <f t="shared" si="253"/>
        <v/>
      </c>
      <c r="Y1055" s="58">
        <f t="shared" si="254"/>
        <v>0</v>
      </c>
      <c r="AA1055" s="62" t="str">
        <f t="shared" si="265"/>
        <v/>
      </c>
    </row>
    <row r="1056" spans="3:27">
      <c r="C1056" s="82"/>
      <c r="E1056" s="30" t="str">
        <f t="shared" si="262"/>
        <v>00:00:00</v>
      </c>
      <c r="F1056" s="36" t="str">
        <f t="shared" si="255"/>
        <v/>
      </c>
      <c r="G1056" s="36">
        <f t="shared" si="256"/>
        <v>0</v>
      </c>
      <c r="H1056" s="3" t="str">
        <f t="shared" si="257"/>
        <v/>
      </c>
      <c r="I1056" s="3">
        <f t="shared" si="258"/>
        <v>0</v>
      </c>
      <c r="L1056" s="35">
        <f t="shared" si="266"/>
        <v>1</v>
      </c>
      <c r="O1056" s="27">
        <f t="shared" si="259"/>
        <v>0</v>
      </c>
      <c r="P1056" s="3">
        <v>1054</v>
      </c>
      <c r="Q1056" s="3" t="e">
        <f t="shared" si="263"/>
        <v>#N/A</v>
      </c>
      <c r="R1056" s="3" t="e">
        <f t="shared" si="264"/>
        <v>#N/A</v>
      </c>
      <c r="T1056" s="46" t="str">
        <f t="shared" si="260"/>
        <v/>
      </c>
      <c r="U1056" s="48" t="str">
        <f t="shared" si="261"/>
        <v/>
      </c>
      <c r="W1056" s="56">
        <f t="shared" si="252"/>
        <v>0</v>
      </c>
      <c r="X1056" s="57" t="str">
        <f t="shared" si="253"/>
        <v/>
      </c>
      <c r="Y1056" s="58">
        <f t="shared" si="254"/>
        <v>0</v>
      </c>
      <c r="AA1056" s="62" t="str">
        <f t="shared" si="265"/>
        <v/>
      </c>
    </row>
    <row r="1057" spans="3:27">
      <c r="C1057" s="82"/>
      <c r="E1057" s="30" t="str">
        <f t="shared" si="262"/>
        <v>00:00:00</v>
      </c>
      <c r="F1057" s="36" t="str">
        <f t="shared" si="255"/>
        <v/>
      </c>
      <c r="G1057" s="36">
        <f t="shared" si="256"/>
        <v>0</v>
      </c>
      <c r="H1057" s="3" t="str">
        <f t="shared" si="257"/>
        <v/>
      </c>
      <c r="I1057" s="3">
        <f t="shared" si="258"/>
        <v>0</v>
      </c>
      <c r="L1057" s="35">
        <f t="shared" si="266"/>
        <v>1</v>
      </c>
      <c r="O1057" s="27">
        <f t="shared" si="259"/>
        <v>0</v>
      </c>
      <c r="P1057" s="3">
        <v>1055</v>
      </c>
      <c r="Q1057" s="3" t="e">
        <f t="shared" si="263"/>
        <v>#N/A</v>
      </c>
      <c r="R1057" s="3" t="e">
        <f t="shared" si="264"/>
        <v>#N/A</v>
      </c>
      <c r="T1057" s="46" t="str">
        <f t="shared" si="260"/>
        <v/>
      </c>
      <c r="U1057" s="48" t="str">
        <f t="shared" si="261"/>
        <v/>
      </c>
      <c r="W1057" s="56">
        <f t="shared" si="252"/>
        <v>0</v>
      </c>
      <c r="X1057" s="57" t="str">
        <f t="shared" si="253"/>
        <v/>
      </c>
      <c r="Y1057" s="58">
        <f t="shared" si="254"/>
        <v>0</v>
      </c>
      <c r="AA1057" s="62" t="str">
        <f t="shared" si="265"/>
        <v/>
      </c>
    </row>
    <row r="1058" spans="3:27">
      <c r="C1058" s="82"/>
      <c r="E1058" s="30" t="str">
        <f t="shared" si="262"/>
        <v>00:00:00</v>
      </c>
      <c r="F1058" s="36" t="str">
        <f t="shared" si="255"/>
        <v/>
      </c>
      <c r="G1058" s="36">
        <f t="shared" si="256"/>
        <v>0</v>
      </c>
      <c r="H1058" s="3" t="str">
        <f t="shared" si="257"/>
        <v/>
      </c>
      <c r="I1058" s="3">
        <f t="shared" si="258"/>
        <v>0</v>
      </c>
      <c r="L1058" s="35">
        <f t="shared" si="266"/>
        <v>1</v>
      </c>
      <c r="O1058" s="27">
        <f t="shared" si="259"/>
        <v>0</v>
      </c>
      <c r="P1058" s="3">
        <v>1056</v>
      </c>
      <c r="Q1058" s="3" t="e">
        <f t="shared" si="263"/>
        <v>#N/A</v>
      </c>
      <c r="R1058" s="3" t="e">
        <f t="shared" si="264"/>
        <v>#N/A</v>
      </c>
      <c r="T1058" s="46" t="str">
        <f t="shared" si="260"/>
        <v/>
      </c>
      <c r="U1058" s="48" t="str">
        <f t="shared" si="261"/>
        <v/>
      </c>
      <c r="W1058" s="56">
        <f t="shared" si="252"/>
        <v>0</v>
      </c>
      <c r="X1058" s="57" t="str">
        <f t="shared" si="253"/>
        <v/>
      </c>
      <c r="Y1058" s="58">
        <f t="shared" si="254"/>
        <v>0</v>
      </c>
      <c r="AA1058" s="62" t="str">
        <f t="shared" si="265"/>
        <v/>
      </c>
    </row>
    <row r="1059" spans="3:27">
      <c r="C1059" s="82"/>
      <c r="E1059" s="30" t="str">
        <f t="shared" si="262"/>
        <v>00:00:00</v>
      </c>
      <c r="F1059" s="36" t="str">
        <f t="shared" si="255"/>
        <v/>
      </c>
      <c r="G1059" s="36">
        <f t="shared" si="256"/>
        <v>0</v>
      </c>
      <c r="H1059" s="3" t="str">
        <f t="shared" si="257"/>
        <v/>
      </c>
      <c r="I1059" s="3">
        <f t="shared" si="258"/>
        <v>0</v>
      </c>
      <c r="L1059" s="35">
        <f t="shared" si="266"/>
        <v>1</v>
      </c>
      <c r="O1059" s="27">
        <f t="shared" si="259"/>
        <v>0</v>
      </c>
      <c r="P1059" s="3">
        <v>1057</v>
      </c>
      <c r="Q1059" s="3" t="e">
        <f t="shared" si="263"/>
        <v>#N/A</v>
      </c>
      <c r="R1059" s="3" t="e">
        <f t="shared" si="264"/>
        <v>#N/A</v>
      </c>
      <c r="T1059" s="46" t="str">
        <f t="shared" si="260"/>
        <v/>
      </c>
      <c r="U1059" s="48" t="str">
        <f t="shared" si="261"/>
        <v/>
      </c>
      <c r="W1059" s="56">
        <f t="shared" si="252"/>
        <v>0</v>
      </c>
      <c r="X1059" s="57" t="str">
        <f t="shared" si="253"/>
        <v/>
      </c>
      <c r="Y1059" s="58">
        <f t="shared" si="254"/>
        <v>0</v>
      </c>
      <c r="AA1059" s="62" t="str">
        <f t="shared" si="265"/>
        <v/>
      </c>
    </row>
    <row r="1060" spans="3:27">
      <c r="C1060" s="82"/>
      <c r="E1060" s="30" t="str">
        <f t="shared" si="262"/>
        <v>00:00:00</v>
      </c>
      <c r="F1060" s="36" t="str">
        <f t="shared" si="255"/>
        <v/>
      </c>
      <c r="G1060" s="36">
        <f t="shared" si="256"/>
        <v>0</v>
      </c>
      <c r="H1060" s="3" t="str">
        <f t="shared" si="257"/>
        <v/>
      </c>
      <c r="I1060" s="3">
        <f t="shared" si="258"/>
        <v>0</v>
      </c>
      <c r="L1060" s="35">
        <f t="shared" si="266"/>
        <v>1</v>
      </c>
      <c r="O1060" s="27">
        <f t="shared" si="259"/>
        <v>0</v>
      </c>
      <c r="P1060" s="3">
        <v>1058</v>
      </c>
      <c r="Q1060" s="3" t="e">
        <f t="shared" si="263"/>
        <v>#N/A</v>
      </c>
      <c r="R1060" s="3" t="e">
        <f t="shared" si="264"/>
        <v>#N/A</v>
      </c>
      <c r="T1060" s="46" t="str">
        <f t="shared" si="260"/>
        <v/>
      </c>
      <c r="U1060" s="48" t="str">
        <f t="shared" si="261"/>
        <v/>
      </c>
      <c r="W1060" s="56">
        <f t="shared" si="252"/>
        <v>0</v>
      </c>
      <c r="X1060" s="57" t="str">
        <f t="shared" si="253"/>
        <v/>
      </c>
      <c r="Y1060" s="58">
        <f t="shared" si="254"/>
        <v>0</v>
      </c>
      <c r="AA1060" s="62" t="str">
        <f t="shared" si="265"/>
        <v/>
      </c>
    </row>
    <row r="1061" spans="3:27">
      <c r="C1061" s="82"/>
      <c r="E1061" s="30" t="str">
        <f t="shared" si="262"/>
        <v>00:00:00</v>
      </c>
      <c r="F1061" s="36" t="str">
        <f t="shared" si="255"/>
        <v/>
      </c>
      <c r="G1061" s="36">
        <f t="shared" si="256"/>
        <v>0</v>
      </c>
      <c r="H1061" s="3" t="str">
        <f t="shared" si="257"/>
        <v/>
      </c>
      <c r="I1061" s="3">
        <f t="shared" si="258"/>
        <v>0</v>
      </c>
      <c r="L1061" s="35">
        <f t="shared" si="266"/>
        <v>1</v>
      </c>
      <c r="O1061" s="27">
        <f t="shared" si="259"/>
        <v>0</v>
      </c>
      <c r="P1061" s="3">
        <v>1059</v>
      </c>
      <c r="Q1061" s="3" t="e">
        <f t="shared" si="263"/>
        <v>#N/A</v>
      </c>
      <c r="R1061" s="3" t="e">
        <f t="shared" si="264"/>
        <v>#N/A</v>
      </c>
      <c r="T1061" s="46" t="str">
        <f t="shared" si="260"/>
        <v/>
      </c>
      <c r="U1061" s="48" t="str">
        <f t="shared" si="261"/>
        <v/>
      </c>
      <c r="W1061" s="56">
        <f t="shared" si="252"/>
        <v>0</v>
      </c>
      <c r="X1061" s="57" t="str">
        <f t="shared" si="253"/>
        <v/>
      </c>
      <c r="Y1061" s="58">
        <f t="shared" si="254"/>
        <v>0</v>
      </c>
      <c r="AA1061" s="62" t="str">
        <f t="shared" si="265"/>
        <v/>
      </c>
    </row>
    <row r="1062" spans="3:27">
      <c r="C1062" s="82"/>
      <c r="E1062" s="30" t="str">
        <f t="shared" si="262"/>
        <v>00:00:00</v>
      </c>
      <c r="F1062" s="36" t="str">
        <f t="shared" si="255"/>
        <v/>
      </c>
      <c r="G1062" s="36">
        <f t="shared" si="256"/>
        <v>0</v>
      </c>
      <c r="H1062" s="3" t="str">
        <f t="shared" si="257"/>
        <v/>
      </c>
      <c r="I1062" s="3">
        <f t="shared" si="258"/>
        <v>0</v>
      </c>
      <c r="L1062" s="35">
        <f t="shared" si="266"/>
        <v>1</v>
      </c>
      <c r="O1062" s="27">
        <f t="shared" si="259"/>
        <v>0</v>
      </c>
      <c r="P1062" s="3">
        <v>1060</v>
      </c>
      <c r="Q1062" s="3" t="e">
        <f t="shared" si="263"/>
        <v>#N/A</v>
      </c>
      <c r="R1062" s="3" t="e">
        <f t="shared" si="264"/>
        <v>#N/A</v>
      </c>
      <c r="T1062" s="46" t="str">
        <f t="shared" si="260"/>
        <v/>
      </c>
      <c r="U1062" s="48" t="str">
        <f t="shared" si="261"/>
        <v/>
      </c>
      <c r="W1062" s="56">
        <f t="shared" si="252"/>
        <v>0</v>
      </c>
      <c r="X1062" s="57" t="str">
        <f t="shared" si="253"/>
        <v/>
      </c>
      <c r="Y1062" s="58">
        <f t="shared" si="254"/>
        <v>0</v>
      </c>
      <c r="AA1062" s="62" t="str">
        <f t="shared" si="265"/>
        <v/>
      </c>
    </row>
    <row r="1063" spans="3:27">
      <c r="C1063" s="82"/>
      <c r="E1063" s="30" t="str">
        <f t="shared" si="262"/>
        <v>00:00:00</v>
      </c>
      <c r="F1063" s="36" t="str">
        <f t="shared" si="255"/>
        <v/>
      </c>
      <c r="G1063" s="36">
        <f t="shared" si="256"/>
        <v>0</v>
      </c>
      <c r="H1063" s="3" t="str">
        <f t="shared" si="257"/>
        <v/>
      </c>
      <c r="I1063" s="3">
        <f t="shared" si="258"/>
        <v>0</v>
      </c>
      <c r="L1063" s="35">
        <f t="shared" si="266"/>
        <v>1</v>
      </c>
      <c r="O1063" s="27">
        <f t="shared" si="259"/>
        <v>0</v>
      </c>
      <c r="P1063" s="3">
        <v>1061</v>
      </c>
      <c r="Q1063" s="3" t="e">
        <f t="shared" si="263"/>
        <v>#N/A</v>
      </c>
      <c r="R1063" s="3" t="e">
        <f t="shared" si="264"/>
        <v>#N/A</v>
      </c>
      <c r="T1063" s="46" t="str">
        <f t="shared" si="260"/>
        <v/>
      </c>
      <c r="U1063" s="48" t="str">
        <f t="shared" si="261"/>
        <v/>
      </c>
      <c r="W1063" s="56">
        <f t="shared" si="252"/>
        <v>0</v>
      </c>
      <c r="X1063" s="57" t="str">
        <f t="shared" si="253"/>
        <v/>
      </c>
      <c r="Y1063" s="58">
        <f t="shared" si="254"/>
        <v>0</v>
      </c>
      <c r="AA1063" s="62" t="str">
        <f t="shared" si="265"/>
        <v/>
      </c>
    </row>
    <row r="1064" spans="3:27">
      <c r="C1064" s="82"/>
      <c r="E1064" s="30" t="str">
        <f t="shared" si="262"/>
        <v>00:00:00</v>
      </c>
      <c r="F1064" s="36" t="str">
        <f t="shared" si="255"/>
        <v/>
      </c>
      <c r="G1064" s="36">
        <f t="shared" si="256"/>
        <v>0</v>
      </c>
      <c r="H1064" s="3" t="str">
        <f t="shared" si="257"/>
        <v/>
      </c>
      <c r="I1064" s="3">
        <f t="shared" si="258"/>
        <v>0</v>
      </c>
      <c r="L1064" s="35">
        <f t="shared" si="266"/>
        <v>1</v>
      </c>
      <c r="O1064" s="27">
        <f t="shared" si="259"/>
        <v>0</v>
      </c>
      <c r="P1064" s="3">
        <v>1062</v>
      </c>
      <c r="Q1064" s="3" t="e">
        <f t="shared" si="263"/>
        <v>#N/A</v>
      </c>
      <c r="R1064" s="3" t="e">
        <f t="shared" si="264"/>
        <v>#N/A</v>
      </c>
      <c r="T1064" s="46" t="str">
        <f t="shared" si="260"/>
        <v/>
      </c>
      <c r="U1064" s="48" t="str">
        <f t="shared" si="261"/>
        <v/>
      </c>
      <c r="W1064" s="56">
        <f t="shared" si="252"/>
        <v>0</v>
      </c>
      <c r="X1064" s="57" t="str">
        <f t="shared" si="253"/>
        <v/>
      </c>
      <c r="Y1064" s="58">
        <f t="shared" si="254"/>
        <v>0</v>
      </c>
      <c r="AA1064" s="62" t="str">
        <f t="shared" si="265"/>
        <v/>
      </c>
    </row>
    <row r="1065" spans="3:27">
      <c r="C1065" s="82"/>
      <c r="E1065" s="30" t="str">
        <f t="shared" si="262"/>
        <v>00:00:00</v>
      </c>
      <c r="F1065" s="36" t="str">
        <f t="shared" si="255"/>
        <v/>
      </c>
      <c r="G1065" s="36">
        <f t="shared" si="256"/>
        <v>0</v>
      </c>
      <c r="H1065" s="3" t="str">
        <f t="shared" si="257"/>
        <v/>
      </c>
      <c r="I1065" s="3">
        <f t="shared" si="258"/>
        <v>0</v>
      </c>
      <c r="L1065" s="35">
        <f t="shared" si="266"/>
        <v>1</v>
      </c>
      <c r="O1065" s="27">
        <f t="shared" si="259"/>
        <v>0</v>
      </c>
      <c r="P1065" s="3">
        <v>1063</v>
      </c>
      <c r="Q1065" s="3" t="e">
        <f t="shared" si="263"/>
        <v>#N/A</v>
      </c>
      <c r="R1065" s="3" t="e">
        <f t="shared" si="264"/>
        <v>#N/A</v>
      </c>
      <c r="T1065" s="46" t="str">
        <f t="shared" si="260"/>
        <v/>
      </c>
      <c r="U1065" s="48" t="str">
        <f t="shared" si="261"/>
        <v/>
      </c>
      <c r="W1065" s="56">
        <f t="shared" si="252"/>
        <v>0</v>
      </c>
      <c r="X1065" s="57" t="str">
        <f t="shared" si="253"/>
        <v/>
      </c>
      <c r="Y1065" s="58">
        <f t="shared" si="254"/>
        <v>0</v>
      </c>
      <c r="AA1065" s="62" t="str">
        <f t="shared" si="265"/>
        <v/>
      </c>
    </row>
    <row r="1066" spans="3:27">
      <c r="C1066" s="82"/>
      <c r="E1066" s="30" t="str">
        <f t="shared" si="262"/>
        <v>00:00:00</v>
      </c>
      <c r="F1066" s="36" t="str">
        <f t="shared" si="255"/>
        <v/>
      </c>
      <c r="G1066" s="36">
        <f t="shared" si="256"/>
        <v>0</v>
      </c>
      <c r="H1066" s="3" t="str">
        <f t="shared" si="257"/>
        <v/>
      </c>
      <c r="I1066" s="3">
        <f t="shared" si="258"/>
        <v>0</v>
      </c>
      <c r="L1066" s="35">
        <f t="shared" si="266"/>
        <v>1</v>
      </c>
      <c r="O1066" s="27">
        <f t="shared" si="259"/>
        <v>0</v>
      </c>
      <c r="P1066" s="3">
        <v>1064</v>
      </c>
      <c r="Q1066" s="3" t="e">
        <f t="shared" si="263"/>
        <v>#N/A</v>
      </c>
      <c r="R1066" s="3" t="e">
        <f t="shared" si="264"/>
        <v>#N/A</v>
      </c>
      <c r="T1066" s="46" t="str">
        <f t="shared" si="260"/>
        <v/>
      </c>
      <c r="U1066" s="48" t="str">
        <f t="shared" si="261"/>
        <v/>
      </c>
      <c r="W1066" s="56">
        <f t="shared" si="252"/>
        <v>0</v>
      </c>
      <c r="X1066" s="57" t="str">
        <f t="shared" si="253"/>
        <v/>
      </c>
      <c r="Y1066" s="58">
        <f t="shared" si="254"/>
        <v>0</v>
      </c>
      <c r="AA1066" s="62" t="str">
        <f t="shared" si="265"/>
        <v/>
      </c>
    </row>
    <row r="1067" spans="3:27">
      <c r="C1067" s="82"/>
      <c r="E1067" s="30" t="str">
        <f t="shared" si="262"/>
        <v>00:00:00</v>
      </c>
      <c r="F1067" s="36" t="str">
        <f t="shared" si="255"/>
        <v/>
      </c>
      <c r="G1067" s="36">
        <f t="shared" si="256"/>
        <v>0</v>
      </c>
      <c r="H1067" s="3" t="str">
        <f t="shared" si="257"/>
        <v/>
      </c>
      <c r="I1067" s="3">
        <f t="shared" si="258"/>
        <v>0</v>
      </c>
      <c r="L1067" s="35">
        <f t="shared" si="266"/>
        <v>1</v>
      </c>
      <c r="O1067" s="27">
        <f t="shared" si="259"/>
        <v>0</v>
      </c>
      <c r="P1067" s="3">
        <v>1065</v>
      </c>
      <c r="Q1067" s="3" t="e">
        <f t="shared" si="263"/>
        <v>#N/A</v>
      </c>
      <c r="R1067" s="3" t="e">
        <f t="shared" si="264"/>
        <v>#N/A</v>
      </c>
      <c r="T1067" s="46" t="str">
        <f t="shared" si="260"/>
        <v/>
      </c>
      <c r="U1067" s="48" t="str">
        <f t="shared" si="261"/>
        <v/>
      </c>
      <c r="W1067" s="56">
        <f t="shared" si="252"/>
        <v>0</v>
      </c>
      <c r="X1067" s="57" t="str">
        <f t="shared" si="253"/>
        <v/>
      </c>
      <c r="Y1067" s="58">
        <f t="shared" si="254"/>
        <v>0</v>
      </c>
      <c r="AA1067" s="62" t="str">
        <f t="shared" si="265"/>
        <v/>
      </c>
    </row>
    <row r="1068" spans="3:27">
      <c r="C1068" s="82"/>
      <c r="E1068" s="30" t="str">
        <f t="shared" si="262"/>
        <v>00:00:00</v>
      </c>
      <c r="F1068" s="36" t="str">
        <f t="shared" si="255"/>
        <v/>
      </c>
      <c r="G1068" s="36">
        <f t="shared" si="256"/>
        <v>0</v>
      </c>
      <c r="H1068" s="3" t="str">
        <f t="shared" si="257"/>
        <v/>
      </c>
      <c r="I1068" s="3">
        <f t="shared" si="258"/>
        <v>0</v>
      </c>
      <c r="L1068" s="35">
        <f t="shared" si="266"/>
        <v>1</v>
      </c>
      <c r="O1068" s="27">
        <f t="shared" si="259"/>
        <v>0</v>
      </c>
      <c r="P1068" s="3">
        <v>1066</v>
      </c>
      <c r="Q1068" s="3" t="e">
        <f t="shared" si="263"/>
        <v>#N/A</v>
      </c>
      <c r="R1068" s="3" t="e">
        <f t="shared" si="264"/>
        <v>#N/A</v>
      </c>
      <c r="T1068" s="46" t="str">
        <f t="shared" si="260"/>
        <v/>
      </c>
      <c r="U1068" s="48" t="str">
        <f t="shared" si="261"/>
        <v/>
      </c>
      <c r="W1068" s="56">
        <f t="shared" si="252"/>
        <v>0</v>
      </c>
      <c r="X1068" s="57" t="str">
        <f t="shared" si="253"/>
        <v/>
      </c>
      <c r="Y1068" s="58">
        <f t="shared" si="254"/>
        <v>0</v>
      </c>
      <c r="AA1068" s="62" t="str">
        <f t="shared" si="265"/>
        <v/>
      </c>
    </row>
    <row r="1069" spans="3:27">
      <c r="C1069" s="82"/>
      <c r="E1069" s="30" t="str">
        <f t="shared" si="262"/>
        <v>00:00:00</v>
      </c>
      <c r="F1069" s="36" t="str">
        <f t="shared" si="255"/>
        <v/>
      </c>
      <c r="G1069" s="36">
        <f t="shared" si="256"/>
        <v>0</v>
      </c>
      <c r="H1069" s="3" t="str">
        <f t="shared" si="257"/>
        <v/>
      </c>
      <c r="I1069" s="3">
        <f t="shared" si="258"/>
        <v>0</v>
      </c>
      <c r="L1069" s="35">
        <f t="shared" si="266"/>
        <v>1</v>
      </c>
      <c r="O1069" s="27">
        <f t="shared" si="259"/>
        <v>0</v>
      </c>
      <c r="P1069" s="3">
        <v>1067</v>
      </c>
      <c r="Q1069" s="3" t="e">
        <f t="shared" si="263"/>
        <v>#N/A</v>
      </c>
      <c r="R1069" s="3" t="e">
        <f t="shared" si="264"/>
        <v>#N/A</v>
      </c>
      <c r="T1069" s="46" t="str">
        <f t="shared" si="260"/>
        <v/>
      </c>
      <c r="U1069" s="48" t="str">
        <f t="shared" si="261"/>
        <v/>
      </c>
      <c r="W1069" s="56">
        <f t="shared" si="252"/>
        <v>0</v>
      </c>
      <c r="X1069" s="57" t="str">
        <f t="shared" si="253"/>
        <v/>
      </c>
      <c r="Y1069" s="58">
        <f t="shared" si="254"/>
        <v>0</v>
      </c>
      <c r="AA1069" s="62" t="str">
        <f t="shared" si="265"/>
        <v/>
      </c>
    </row>
    <row r="1070" spans="3:27">
      <c r="C1070" s="82"/>
      <c r="E1070" s="30" t="str">
        <f t="shared" si="262"/>
        <v>00:00:00</v>
      </c>
      <c r="F1070" s="36" t="str">
        <f t="shared" si="255"/>
        <v/>
      </c>
      <c r="G1070" s="36">
        <f t="shared" si="256"/>
        <v>0</v>
      </c>
      <c r="H1070" s="3" t="str">
        <f t="shared" si="257"/>
        <v/>
      </c>
      <c r="I1070" s="3">
        <f t="shared" si="258"/>
        <v>0</v>
      </c>
      <c r="L1070" s="35">
        <f t="shared" si="266"/>
        <v>1</v>
      </c>
      <c r="O1070" s="27">
        <f t="shared" si="259"/>
        <v>0</v>
      </c>
      <c r="P1070" s="3">
        <v>1068</v>
      </c>
      <c r="Q1070" s="3" t="e">
        <f t="shared" si="263"/>
        <v>#N/A</v>
      </c>
      <c r="R1070" s="3" t="e">
        <f t="shared" si="264"/>
        <v>#N/A</v>
      </c>
      <c r="T1070" s="46" t="str">
        <f t="shared" si="260"/>
        <v/>
      </c>
      <c r="U1070" s="48" t="str">
        <f t="shared" si="261"/>
        <v/>
      </c>
      <c r="W1070" s="56">
        <f t="shared" si="252"/>
        <v>0</v>
      </c>
      <c r="X1070" s="57" t="str">
        <f t="shared" si="253"/>
        <v/>
      </c>
      <c r="Y1070" s="58">
        <f t="shared" si="254"/>
        <v>0</v>
      </c>
      <c r="AA1070" s="62" t="str">
        <f t="shared" si="265"/>
        <v/>
      </c>
    </row>
    <row r="1071" spans="3:27">
      <c r="C1071" s="82"/>
      <c r="E1071" s="30" t="str">
        <f t="shared" si="262"/>
        <v>00:00:00</v>
      </c>
      <c r="F1071" s="36" t="str">
        <f t="shared" si="255"/>
        <v/>
      </c>
      <c r="G1071" s="36">
        <f t="shared" si="256"/>
        <v>0</v>
      </c>
      <c r="H1071" s="3" t="str">
        <f t="shared" si="257"/>
        <v/>
      </c>
      <c r="I1071" s="3">
        <f t="shared" si="258"/>
        <v>0</v>
      </c>
      <c r="L1071" s="35">
        <f t="shared" si="266"/>
        <v>1</v>
      </c>
      <c r="O1071" s="27">
        <f t="shared" si="259"/>
        <v>0</v>
      </c>
      <c r="P1071" s="3">
        <v>1069</v>
      </c>
      <c r="Q1071" s="3" t="e">
        <f t="shared" si="263"/>
        <v>#N/A</v>
      </c>
      <c r="R1071" s="3" t="e">
        <f t="shared" si="264"/>
        <v>#N/A</v>
      </c>
      <c r="T1071" s="46" t="str">
        <f t="shared" si="260"/>
        <v/>
      </c>
      <c r="U1071" s="48" t="str">
        <f t="shared" si="261"/>
        <v/>
      </c>
      <c r="W1071" s="56">
        <f t="shared" si="252"/>
        <v>0</v>
      </c>
      <c r="X1071" s="57" t="str">
        <f t="shared" si="253"/>
        <v/>
      </c>
      <c r="Y1071" s="58">
        <f t="shared" si="254"/>
        <v>0</v>
      </c>
      <c r="AA1071" s="62" t="str">
        <f t="shared" si="265"/>
        <v/>
      </c>
    </row>
    <row r="1072" spans="3:27">
      <c r="C1072" s="82"/>
      <c r="E1072" s="30" t="str">
        <f t="shared" si="262"/>
        <v>00:00:00</v>
      </c>
      <c r="F1072" s="36" t="str">
        <f t="shared" si="255"/>
        <v/>
      </c>
      <c r="G1072" s="36">
        <f t="shared" si="256"/>
        <v>0</v>
      </c>
      <c r="H1072" s="3" t="str">
        <f t="shared" si="257"/>
        <v/>
      </c>
      <c r="I1072" s="3">
        <f t="shared" si="258"/>
        <v>0</v>
      </c>
      <c r="L1072" s="35">
        <f t="shared" si="266"/>
        <v>1</v>
      </c>
      <c r="O1072" s="27">
        <f t="shared" si="259"/>
        <v>0</v>
      </c>
      <c r="P1072" s="3">
        <v>1070</v>
      </c>
      <c r="Q1072" s="3" t="e">
        <f t="shared" si="263"/>
        <v>#N/A</v>
      </c>
      <c r="R1072" s="3" t="e">
        <f t="shared" si="264"/>
        <v>#N/A</v>
      </c>
      <c r="T1072" s="46" t="str">
        <f t="shared" si="260"/>
        <v/>
      </c>
      <c r="U1072" s="48" t="str">
        <f t="shared" si="261"/>
        <v/>
      </c>
      <c r="W1072" s="56">
        <f t="shared" si="252"/>
        <v>0</v>
      </c>
      <c r="X1072" s="57" t="str">
        <f t="shared" si="253"/>
        <v/>
      </c>
      <c r="Y1072" s="58">
        <f t="shared" si="254"/>
        <v>0</v>
      </c>
      <c r="AA1072" s="62" t="str">
        <f t="shared" si="265"/>
        <v/>
      </c>
    </row>
    <row r="1073" spans="3:27">
      <c r="C1073" s="82"/>
      <c r="E1073" s="30" t="str">
        <f t="shared" si="262"/>
        <v>00:00:00</v>
      </c>
      <c r="F1073" s="36" t="str">
        <f t="shared" si="255"/>
        <v/>
      </c>
      <c r="G1073" s="36">
        <f t="shared" si="256"/>
        <v>0</v>
      </c>
      <c r="H1073" s="3" t="str">
        <f t="shared" si="257"/>
        <v/>
      </c>
      <c r="I1073" s="3">
        <f t="shared" si="258"/>
        <v>0</v>
      </c>
      <c r="L1073" s="35">
        <f t="shared" si="266"/>
        <v>1</v>
      </c>
      <c r="O1073" s="27">
        <f t="shared" si="259"/>
        <v>0</v>
      </c>
      <c r="P1073" s="3">
        <v>1071</v>
      </c>
      <c r="Q1073" s="3" t="e">
        <f t="shared" si="263"/>
        <v>#N/A</v>
      </c>
      <c r="R1073" s="3" t="e">
        <f t="shared" si="264"/>
        <v>#N/A</v>
      </c>
      <c r="T1073" s="46" t="str">
        <f t="shared" si="260"/>
        <v/>
      </c>
      <c r="U1073" s="48" t="str">
        <f t="shared" si="261"/>
        <v/>
      </c>
      <c r="W1073" s="56">
        <f t="shared" si="252"/>
        <v>0</v>
      </c>
      <c r="X1073" s="57" t="str">
        <f t="shared" si="253"/>
        <v/>
      </c>
      <c r="Y1073" s="58">
        <f t="shared" si="254"/>
        <v>0</v>
      </c>
      <c r="AA1073" s="62" t="str">
        <f t="shared" si="265"/>
        <v/>
      </c>
    </row>
    <row r="1074" spans="3:27">
      <c r="C1074" s="82"/>
      <c r="E1074" s="30" t="str">
        <f t="shared" si="262"/>
        <v>00:00:00</v>
      </c>
      <c r="F1074" s="36" t="str">
        <f t="shared" si="255"/>
        <v/>
      </c>
      <c r="G1074" s="36">
        <f t="shared" si="256"/>
        <v>0</v>
      </c>
      <c r="H1074" s="3" t="str">
        <f t="shared" si="257"/>
        <v/>
      </c>
      <c r="I1074" s="3">
        <f t="shared" si="258"/>
        <v>0</v>
      </c>
      <c r="L1074" s="35">
        <f t="shared" si="266"/>
        <v>1</v>
      </c>
      <c r="O1074" s="27">
        <f t="shared" si="259"/>
        <v>0</v>
      </c>
      <c r="P1074" s="3">
        <v>1072</v>
      </c>
      <c r="Q1074" s="3" t="e">
        <f t="shared" si="263"/>
        <v>#N/A</v>
      </c>
      <c r="R1074" s="3" t="e">
        <f t="shared" si="264"/>
        <v>#N/A</v>
      </c>
      <c r="T1074" s="46" t="str">
        <f t="shared" si="260"/>
        <v/>
      </c>
      <c r="U1074" s="48" t="str">
        <f t="shared" si="261"/>
        <v/>
      </c>
      <c r="W1074" s="56">
        <f t="shared" si="252"/>
        <v>0</v>
      </c>
      <c r="X1074" s="57" t="str">
        <f t="shared" si="253"/>
        <v/>
      </c>
      <c r="Y1074" s="58">
        <f t="shared" si="254"/>
        <v>0</v>
      </c>
      <c r="AA1074" s="62" t="str">
        <f t="shared" si="26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Hoja1</vt:lpstr>
      <vt:lpstr>Instrucciones de uso</vt:lpstr>
      <vt:lpstr>Calculo turnos</vt:lpstr>
      <vt:lpstr>Resumen</vt:lpstr>
    </vt:vector>
  </TitlesOfParts>
  <Company>CASA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Arenas</dc:creator>
  <cp:lastModifiedBy>joare</cp:lastModifiedBy>
  <cp:lastPrinted>2015-12-23T18:24:44Z</cp:lastPrinted>
  <dcterms:created xsi:type="dcterms:W3CDTF">2015-12-02T12:17:58Z</dcterms:created>
  <dcterms:modified xsi:type="dcterms:W3CDTF">2018-10-25T05:11:01Z</dcterms:modified>
</cp:coreProperties>
</file>